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filterPrivacy="1" codeName="ThisWorkbook" defaultThemeVersion="124226"/>
  <xr:revisionPtr revIDLastSave="0" documentId="13_ncr:1_{B5AD39C3-413A-4257-BA08-7F91576FF04A}" xr6:coauthVersionLast="47" xr6:coauthVersionMax="47" xr10:uidLastSave="{00000000-0000-0000-0000-000000000000}"/>
  <bookViews>
    <workbookView xWindow="1296" yWindow="198" windowWidth="19260" windowHeight="12042" firstSheet="1" activeTab="1" xr2:uid="{00000000-000D-0000-FFFF-FFFF00000000}"/>
  </bookViews>
  <sheets>
    <sheet name="Index of Sheets" sheetId="16" r:id="rId1"/>
    <sheet name="w2_con.csv" sheetId="4" r:id="rId2"/>
    <sheet name="w2_habitat.npt" sheetId="8" r:id="rId3"/>
    <sheet name="w2_diagenesis.npt" sheetId="22" r:id="rId4"/>
    <sheet name="w2_aerate.npt" sheetId="9" r:id="rId5"/>
    <sheet name="w2_envirprf.npt" sheetId="10" r:id="rId6"/>
    <sheet name="w2_selective.npt" sheetId="11" r:id="rId7"/>
    <sheet name="w2_constriction.csv" sheetId="12" r:id="rId8"/>
    <sheet name="w2_particle.csv" sheetId="13" r:id="rId9"/>
    <sheet name="w2_multiple_WB.npt" sheetId="14" r:id="rId10"/>
    <sheet name="w2_tecplotbr.csv" sheetId="17" r:id="rId11"/>
    <sheet name="w2_systdg.npt" sheetId="15" r:id="rId12"/>
    <sheet name="w2_TDGTarget.csv" sheetId="24" r:id="rId13"/>
    <sheet name="w2_lake_river_contour.csv" sheetId="18" r:id="rId14"/>
    <sheet name="w2_AlgaeMigration.csv" sheetId="19" r:id="rId15"/>
    <sheet name="w2_Algae_Toxin.csv" sheetId="20" r:id="rId16"/>
    <sheet name="sediment diagenesis numbers" sheetId="23" r:id="rId17"/>
    <sheet name="atm_deposition_wb1.csv" sheetId="7" r:id="rId18"/>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405" i="4" l="1"/>
  <c r="T79" i="16" l="1"/>
  <c r="T78" i="16"/>
  <c r="T77" i="16"/>
  <c r="T76" i="16"/>
  <c r="T75" i="16"/>
  <c r="T74" i="16"/>
  <c r="T73" i="16"/>
  <c r="T72" i="16"/>
  <c r="T71" i="16"/>
  <c r="T70" i="16"/>
  <c r="T68" i="16"/>
  <c r="T67" i="16"/>
  <c r="T66" i="16"/>
  <c r="T65" i="16"/>
  <c r="T64" i="16"/>
  <c r="T62" i="16"/>
  <c r="T61" i="16"/>
  <c r="T60" i="16"/>
  <c r="T59" i="16"/>
  <c r="T58" i="16"/>
  <c r="T57" i="16"/>
  <c r="T56" i="16"/>
  <c r="T54" i="16"/>
  <c r="T53" i="16"/>
  <c r="T52" i="16"/>
  <c r="T51" i="16"/>
  <c r="T50" i="16"/>
  <c r="T49" i="16"/>
  <c r="T48" i="16"/>
  <c r="A424" i="4"/>
  <c r="A38" i="4"/>
  <c r="A36" i="4" s="1"/>
  <c r="A854" i="4"/>
  <c r="A35" i="4" l="1"/>
  <c r="I7" i="7" l="1"/>
  <c r="A423" i="4" l="1"/>
  <c r="Q13" i="10" l="1"/>
</calcChain>
</file>

<file path=xl/sharedStrings.xml><?xml version="1.0" encoding="utf-8"?>
<sst xmlns="http://schemas.openxmlformats.org/spreadsheetml/2006/main" count="4521" uniqueCount="2514">
  <si>
    <t>TITLE C</t>
  </si>
  <si>
    <t>NWB</t>
  </si>
  <si>
    <t>ON</t>
  </si>
  <si>
    <t>NTR</t>
  </si>
  <si>
    <t>NGC</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</si>
  <si>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</si>
  <si>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</si>
  <si>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</si>
  <si>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</si>
  <si>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</si>
  <si>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</si>
  <si>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</si>
  <si>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</si>
  <si>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</si>
  <si>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</si>
  <si>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</si>
  <si>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</si>
  <si>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</si>
  <si>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</si>
  <si>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</si>
  <si>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</si>
  <si>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</si>
  <si>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</si>
  <si>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</si>
  <si>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</si>
  <si>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</si>
  <si>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</si>
  <si>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</si>
  <si>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</si>
  <si>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</si>
  <si>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</si>
  <si>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</si>
  <si>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</si>
  <si>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</si>
  <si>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</si>
  <si>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</si>
  <si>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</si>
  <si>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</si>
  <si>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</si>
  <si>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</si>
  <si>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</si>
  <si>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</si>
  <si>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</si>
  <si>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</si>
  <si>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</si>
  <si>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</si>
  <si>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</si>
  <si>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</si>
  <si>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</si>
  <si>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</si>
  <si>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</si>
  <si>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</si>
  <si>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</si>
  <si>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</si>
  <si>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</si>
  <si>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</si>
  <si>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</si>
  <si>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BOD1</t>
  </si>
  <si>
    <t>BOD2</t>
  </si>
  <si>
    <t>BOD3</t>
  </si>
  <si>
    <t>BOD4</t>
  </si>
  <si>
    <t>BOD5</t>
  </si>
  <si>
    <t>BOD6</t>
  </si>
  <si>
    <t>BOD7</t>
  </si>
  <si>
    <t>BOD8</t>
  </si>
  <si>
    <t>BOD9</t>
  </si>
  <si>
    <t>BOD10</t>
  </si>
  <si>
    <t>ALG1</t>
  </si>
  <si>
    <t>ALG2</t>
  </si>
  <si>
    <t>ALG3</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</si>
  <si>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</si>
  <si>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</si>
  <si>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</si>
  <si>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</si>
  <si>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</si>
  <si>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</si>
  <si>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</si>
  <si>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</si>
  <si>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</si>
  <si>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</si>
  <si>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</si>
  <si>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</si>
  <si>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</si>
  <si>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</si>
  <si>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</si>
  <si>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</si>
  <si>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</si>
  <si>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</si>
  <si>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</si>
  <si>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</si>
  <si>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</si>
  <si>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</si>
  <si>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</si>
  <si>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</si>
  <si>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</si>
  <si>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</si>
  <si>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</si>
  <si>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</si>
  <si>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</si>
  <si>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</si>
  <si>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</si>
  <si>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</si>
  <si>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</si>
  <si>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</si>
  <si>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</si>
  <si>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</si>
  <si>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</si>
  <si>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</si>
  <si>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</si>
  <si>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</si>
  <si>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</si>
  <si>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</si>
  <si>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</si>
  <si>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</si>
  <si>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</si>
  <si>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</si>
  <si>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HPRWBC8</t>
  </si>
  <si>
    <t>HPRWBC7</t>
  </si>
  <si>
    <t>HPRWBC6</t>
  </si>
  <si>
    <t>HPRWBC5</t>
  </si>
  <si>
    <t>HPRWBC4</t>
  </si>
  <si>
    <t>FMTH</t>
  </si>
  <si>
    <t>HMULT</t>
  </si>
  <si>
    <t>(F10.3)</t>
  </si>
  <si>
    <t>FMTCD</t>
  </si>
  <si>
    <t>CDMULT</t>
  </si>
  <si>
    <t>HNAME</t>
  </si>
  <si>
    <t>CDWBC1</t>
  </si>
  <si>
    <t>CDWBC2</t>
  </si>
  <si>
    <t>CDWBC3</t>
  </si>
  <si>
    <t>CDWBC4</t>
  </si>
  <si>
    <t>CDWBC5</t>
  </si>
  <si>
    <t>CDWBC6</t>
  </si>
  <si>
    <t>CDWBC7</t>
  </si>
  <si>
    <t>CDWBC8</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</si>
  <si>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</si>
  <si>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</si>
  <si>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</si>
  <si>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</si>
  <si>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</si>
  <si>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</si>
  <si>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</si>
  <si>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</si>
  <si>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</si>
  <si>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</si>
  <si>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</si>
  <si>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</si>
  <si>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</si>
  <si>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</si>
  <si>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</si>
  <si>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</si>
  <si>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</si>
  <si>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</si>
  <si>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</si>
  <si>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</si>
  <si>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</si>
  <si>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</si>
  <si>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</si>
  <si>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</si>
  <si>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</si>
  <si>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</si>
  <si>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</si>
  <si>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</si>
  <si>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</si>
  <si>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</si>
  <si>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</si>
  <si>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</si>
  <si>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</si>
  <si>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</si>
  <si>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</si>
  <si>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</si>
  <si>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</si>
  <si>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</si>
  <si>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</si>
  <si>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</si>
  <si>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</si>
  <si>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</si>
  <si>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</si>
  <si>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</si>
  <si>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</si>
  <si>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</si>
  <si>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</si>
  <si>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</si>
  <si>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</si>
  <si>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</si>
  <si>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</si>
  <si>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</si>
  <si>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</si>
  <si>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</si>
  <si>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</si>
  <si>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</si>
  <si>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</si>
  <si>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</si>
  <si>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</si>
  <si>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</si>
  <si>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</si>
  <si>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</si>
  <si>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</si>
  <si>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</si>
  <si>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</si>
  <si>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</si>
  <si>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</si>
  <si>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</si>
  <si>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</si>
  <si>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</si>
  <si>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</si>
  <si>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</si>
  <si>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</si>
  <si>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</si>
  <si>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</si>
  <si>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</si>
  <si>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</si>
  <si>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</si>
  <si>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</si>
  <si>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</si>
  <si>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</si>
  <si>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</si>
  <si>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</si>
  <si>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</si>
  <si>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</si>
  <si>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</si>
  <si>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</si>
  <si>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</si>
  <si>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</si>
  <si>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</si>
  <si>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</si>
  <si>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</si>
  <si>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</si>
  <si>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</si>
  <si>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</si>
  <si>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</si>
  <si>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</si>
  <si>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</si>
  <si>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</si>
  <si>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</si>
  <si>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</si>
  <si>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</si>
  <si>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</si>
  <si>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</si>
  <si>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</si>
  <si>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</si>
  <si>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</si>
  <si>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</si>
  <si>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</si>
  <si>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</si>
  <si>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</si>
  <si>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</si>
  <si>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</si>
  <si>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</si>
  <si>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</si>
  <si>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</si>
  <si>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</si>
  <si>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</si>
  <si>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</si>
  <si>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</si>
  <si>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</si>
  <si>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</si>
  <si>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</si>
  <si>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</si>
  <si>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</si>
  <si>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</si>
  <si>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</si>
  <si>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</si>
  <si>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</si>
  <si>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</si>
  <si>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</si>
  <si>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</si>
  <si>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</si>
  <si>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</si>
  <si>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</si>
  <si>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</si>
  <si>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</si>
  <si>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</si>
  <si>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</si>
  <si>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</si>
  <si>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</si>
  <si>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</si>
  <si>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</si>
  <si>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</si>
  <si>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</si>
  <si>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</si>
  <si>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</si>
  <si>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</si>
  <si>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</si>
  <si>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</si>
  <si>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</si>
  <si>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</si>
  <si>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</si>
  <si>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</si>
  <si>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</si>
  <si>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</si>
  <si>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</si>
  <si>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</si>
  <si>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</si>
  <si>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</si>
  <si>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</si>
  <si>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</si>
  <si>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</si>
  <si>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</si>
  <si>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</si>
  <si>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</si>
  <si>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</si>
  <si>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</si>
  <si>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</si>
  <si>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</si>
  <si>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</si>
  <si>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</si>
  <si>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</si>
  <si>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</si>
  <si>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</si>
  <si>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</si>
  <si>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</si>
  <si>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</si>
  <si>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</si>
  <si>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</si>
  <si>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</si>
  <si>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</si>
  <si>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</si>
  <si>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</si>
  <si>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</si>
  <si>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</si>
  <si>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</si>
  <si>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</si>
  <si>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</si>
  <si>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</si>
  <si>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</si>
  <si>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</si>
  <si>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</si>
  <si>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</si>
  <si>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</si>
  <si>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</si>
  <si>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</si>
  <si>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</si>
  <si>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</si>
  <si>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</si>
  <si>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</si>
  <si>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</si>
  <si>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</si>
  <si>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</si>
  <si>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</si>
  <si>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</si>
  <si>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</si>
  <si>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</si>
  <si>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</si>
  <si>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</si>
  <si>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</si>
  <si>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</si>
  <si>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</si>
  <si>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</si>
  <si>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</si>
  <si>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</si>
  <si>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</si>
  <si>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</si>
  <si>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</si>
  <si>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</si>
  <si>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</si>
  <si>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</si>
  <si>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</si>
  <si>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</si>
  <si>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</si>
  <si>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</si>
  <si>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</si>
  <si>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</si>
  <si>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</si>
  <si>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</si>
  <si>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</si>
  <si>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</si>
  <si>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</si>
  <si>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</si>
  <si>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</si>
  <si>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</si>
  <si>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</si>
  <si>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</si>
  <si>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</si>
  <si>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</si>
  <si>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</si>
  <si>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</si>
  <si>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</si>
  <si>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</si>
  <si>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</si>
  <si>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</si>
  <si>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</si>
  <si>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</si>
  <si>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</si>
  <si>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</si>
  <si>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</si>
  <si>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</si>
  <si>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</si>
  <si>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</si>
  <si>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</si>
  <si>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</si>
  <si>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</si>
  <si>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</si>
  <si>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</si>
  <si>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</si>
  <si>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</si>
  <si>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</si>
  <si>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</si>
  <si>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</si>
  <si>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</si>
  <si>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</si>
  <si>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</si>
  <si>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</si>
  <si>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</si>
  <si>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</si>
  <si>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</si>
  <si>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</si>
  <si>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</si>
  <si>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</si>
  <si>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</si>
  <si>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</si>
  <si>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</si>
  <si>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</si>
  <si>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</si>
  <si>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</si>
  <si>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</si>
  <si>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</si>
  <si>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</si>
  <si>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</si>
  <si>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</si>
  <si>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</si>
  <si>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</si>
  <si>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</si>
  <si>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</si>
  <si>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</si>
  <si>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</si>
  <si>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</si>
  <si>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</si>
  <si>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</si>
  <si>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</si>
  <si>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</si>
  <si>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</si>
  <si>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</si>
  <si>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</si>
  <si>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</si>
  <si>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</si>
  <si>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</si>
  <si>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</si>
  <si>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</si>
  <si>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</si>
  <si>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</si>
  <si>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</si>
  <si>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</si>
  <si>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</si>
  <si>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</si>
  <si>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</si>
  <si>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</si>
  <si>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</si>
  <si>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</si>
  <si>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</si>
  <si>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</si>
  <si>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</si>
  <si>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</si>
  <si>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</si>
  <si>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</si>
  <si>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</si>
  <si>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</si>
  <si>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</si>
  <si>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</si>
  <si>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</si>
  <si>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</si>
  <si>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</si>
  <si>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</si>
  <si>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</si>
  <si>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</si>
  <si>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</si>
  <si>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</si>
  <si>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</si>
  <si>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</si>
  <si>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</si>
  <si>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</si>
  <si>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</si>
  <si>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</si>
  <si>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</si>
  <si>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</si>
  <si>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</si>
  <si>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</si>
  <si>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</si>
  <si>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</si>
  <si>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</si>
  <si>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</si>
  <si>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</si>
  <si>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</si>
  <si>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</si>
  <si>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</si>
  <si>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</si>
  <si>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</si>
  <si>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</si>
  <si>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</si>
  <si>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</si>
  <si>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</si>
  <si>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</si>
  <si>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</si>
  <si>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</si>
  <si>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</si>
  <si>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</si>
  <si>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</si>
  <si>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</si>
  <si>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</si>
  <si>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</si>
  <si>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</si>
  <si>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</si>
  <si>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</si>
  <si>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</si>
  <si>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</si>
  <si>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</si>
  <si>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</si>
  <si>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</si>
  <si>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</si>
  <si>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</si>
  <si>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</si>
  <si>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</si>
  <si>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</si>
  <si>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</si>
  <si>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</si>
  <si>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</si>
  <si>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</si>
  <si>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</si>
  <si>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</si>
  <si>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</si>
  <si>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</si>
  <si>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</si>
  <si>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</si>
  <si>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</si>
  <si>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</si>
  <si>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</si>
  <si>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</si>
  <si>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</si>
  <si>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</si>
  <si>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</si>
  <si>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</si>
  <si>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</si>
  <si>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</si>
  <si>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</si>
  <si>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</si>
  <si>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</si>
  <si>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</si>
  <si>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</si>
  <si>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</si>
  <si>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</si>
  <si>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</si>
  <si>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</si>
  <si>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</si>
  <si>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</si>
  <si>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</si>
  <si>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</si>
  <si>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</si>
  <si>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</si>
  <si>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</si>
  <si>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</si>
  <si>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</si>
  <si>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</si>
  <si>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</si>
  <si>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</si>
  <si>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</si>
  <si>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</si>
  <si>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</si>
  <si>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</si>
  <si>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</si>
  <si>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</si>
  <si>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</si>
  <si>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</si>
  <si>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</si>
  <si>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</si>
  <si>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</si>
  <si>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</si>
  <si>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</si>
  <si>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</si>
  <si>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</si>
  <si>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</si>
  <si>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</si>
  <si>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</si>
  <si>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</si>
  <si>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</si>
  <si>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</si>
  <si>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</si>
  <si>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</si>
  <si>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</si>
  <si>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</si>
  <si>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</si>
  <si>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</si>
  <si>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</si>
  <si>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</si>
  <si>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</si>
  <si>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</si>
  <si>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</si>
  <si>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</si>
  <si>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</si>
  <si>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</si>
  <si>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</si>
  <si>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</si>
  <si>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</si>
  <si>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</si>
  <si>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</si>
  <si>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</si>
  <si>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</si>
  <si>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</si>
  <si>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</si>
  <si>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</si>
  <si>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</si>
  <si>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</si>
  <si>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</si>
  <si>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</si>
  <si>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</si>
  <si>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</si>
  <si>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</si>
  <si>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</si>
  <si>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</si>
  <si>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</si>
  <si>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</si>
  <si>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</si>
  <si>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</si>
  <si>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</si>
  <si>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</si>
  <si>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</si>
  <si>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</si>
  <si>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</si>
  <si>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</si>
  <si>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</si>
  <si>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</si>
  <si>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</si>
  <si>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</si>
  <si>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</si>
  <si>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</si>
  <si>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</si>
  <si>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</si>
  <si>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</si>
  <si>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</si>
  <si>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</si>
  <si>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</si>
  <si>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</si>
  <si>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</si>
  <si>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</si>
  <si>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</si>
  <si>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</si>
  <si>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</si>
  <si>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</si>
  <si>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</si>
  <si>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</si>
  <si>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</si>
  <si>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</si>
  <si>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</si>
  <si>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</si>
  <si>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</si>
  <si>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</si>
  <si>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</si>
  <si>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</si>
  <si>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</si>
  <si>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</si>
  <si>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</si>
  <si>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</si>
  <si>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</si>
  <si>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</si>
  <si>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</si>
  <si>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</si>
  <si>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</si>
  <si>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</si>
  <si>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</si>
  <si>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</si>
  <si>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</si>
  <si>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</si>
  <si>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</si>
  <si>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</si>
  <si>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</si>
  <si>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</si>
  <si>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</si>
  <si>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</si>
  <si>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</si>
  <si>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</si>
  <si>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</si>
  <si>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</si>
  <si>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</si>
  <si>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</si>
  <si>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</si>
  <si>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</si>
  <si>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</si>
  <si>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</si>
  <si>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</si>
  <si>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</si>
  <si>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</si>
  <si>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</si>
  <si>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</si>
  <si>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</si>
  <si>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</si>
  <si>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</si>
  <si>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</si>
  <si>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</si>
  <si>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</si>
  <si>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</si>
  <si>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</si>
  <si>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</si>
  <si>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</si>
  <si>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</si>
  <si>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</si>
  <si>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</si>
  <si>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</si>
  <si>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</si>
  <si>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</si>
  <si>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</si>
  <si>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</si>
  <si>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</si>
  <si>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</si>
  <si>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</si>
  <si>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</si>
  <si>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</si>
  <si>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</si>
  <si>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</si>
  <si>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</si>
  <si>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</si>
  <si>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</si>
  <si>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</si>
  <si>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</si>
  <si>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</si>
  <si>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</si>
  <si>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</si>
  <si>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</si>
  <si>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</si>
  <si>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</si>
  <si>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</si>
  <si>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</si>
  <si>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</si>
  <si>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</si>
  <si>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</si>
  <si>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</si>
  <si>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</si>
  <si>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</si>
  <si>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</si>
  <si>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</si>
  <si>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</si>
  <si>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</si>
  <si>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</si>
  <si>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MACROPHYTES</t>
  </si>
  <si>
    <t>Control File version</t>
  </si>
  <si>
    <t>"TDS,  g/m^3"</t>
  </si>
  <si>
    <t>"Age,  days"</t>
  </si>
  <si>
    <t>"Tracer,  g/m^3"</t>
  </si>
  <si>
    <t>"Bacteria,  col/100ml"</t>
  </si>
  <si>
    <t>"Conductivity,  mhos"</t>
  </si>
  <si>
    <t>"Chloride,  mg/l"</t>
  </si>
  <si>
    <t>"ISS,  g/m^3"</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</si>
  <si>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</si>
  <si>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</si>
  <si>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</si>
  <si>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</si>
  <si>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</si>
  <si>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</si>
  <si>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</si>
  <si>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</si>
  <si>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</si>
  <si>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</si>
  <si>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</si>
  <si>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</si>
  <si>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</si>
  <si>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</si>
  <si>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</si>
  <si>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</si>
  <si>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</si>
  <si>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</si>
  <si>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</si>
  <si>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</si>
  <si>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</si>
  <si>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</si>
  <si>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</si>
  <si>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</si>
  <si>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</si>
  <si>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</si>
  <si>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</si>
  <si>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</si>
  <si>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</si>
  <si>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</si>
  <si>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</si>
  <si>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</si>
  <si>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</si>
  <si>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</si>
  <si>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</si>
  <si>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</si>
  <si>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</si>
  <si>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</si>
  <si>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</si>
  <si>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</si>
  <si>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</si>
  <si>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</si>
  <si>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</si>
  <si>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</si>
  <si>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</si>
  <si>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</si>
  <si>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</si>
  <si>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</si>
  <si>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</si>
  <si>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</si>
  <si>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</si>
  <si>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</si>
  <si>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</si>
  <si>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</si>
  <si>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</si>
  <si>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</si>
  <si>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</si>
  <si>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</si>
  <si>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</si>
  <si>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</si>
  <si>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</si>
  <si>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</si>
  <si>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</si>
  <si>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</si>
  <si>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</si>
  <si>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</si>
  <si>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</si>
  <si>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</si>
  <si>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</si>
  <si>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</si>
  <si>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</si>
  <si>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</si>
  <si>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</si>
  <si>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</si>
  <si>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</si>
  <si>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</si>
  <si>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</si>
  <si>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</si>
  <si>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</si>
  <si>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</si>
  <si>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</si>
  <si>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</si>
  <si>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</si>
  <si>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</si>
  <si>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</si>
  <si>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</si>
  <si>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</si>
  <si>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</si>
  <si>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</si>
  <si>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</si>
  <si>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</si>
  <si>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</si>
  <si>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</si>
  <si>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</si>
  <si>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</si>
  <si>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</si>
  <si>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</si>
  <si>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</si>
  <si>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</si>
  <si>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</si>
  <si>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</si>
  <si>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</si>
  <si>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</si>
  <si>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</si>
  <si>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</si>
  <si>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</si>
  <si>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</si>
  <si>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</si>
  <si>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</si>
  <si>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</si>
  <si>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</si>
  <si>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</si>
  <si>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</si>
  <si>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</si>
  <si>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</si>
  <si>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</si>
  <si>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</si>
  <si>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</si>
  <si>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</si>
  <si>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</si>
  <si>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</si>
  <si>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</si>
  <si>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</si>
  <si>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</si>
  <si>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</si>
  <si>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</si>
  <si>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</si>
  <si>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</si>
  <si>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</si>
  <si>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</si>
  <si>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</si>
  <si>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</si>
  <si>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</si>
  <si>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</si>
  <si>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</si>
  <si>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</si>
  <si>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</si>
  <si>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</si>
  <si>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</si>
  <si>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</si>
  <si>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</si>
  <si>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</si>
  <si>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</si>
  <si>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</si>
  <si>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</si>
  <si>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</si>
  <si>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</si>
  <si>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</si>
  <si>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</si>
  <si>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</si>
  <si>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</si>
  <si>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</si>
  <si>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</si>
  <si>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</si>
  <si>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</si>
  <si>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</si>
  <si>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</si>
  <si>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</si>
  <si>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</si>
  <si>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</si>
  <si>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</si>
  <si>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</si>
  <si>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</si>
  <si>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</si>
  <si>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</si>
  <si>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</si>
  <si>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</si>
  <si>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</si>
  <si>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</si>
  <si>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</si>
  <si>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</si>
  <si>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</si>
  <si>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</si>
  <si>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</si>
  <si>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</si>
  <si>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</si>
  <si>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</si>
  <si>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</si>
  <si>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</si>
  <si>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</si>
  <si>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</si>
  <si>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</si>
  <si>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</si>
  <si>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</si>
  <si>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</si>
  <si>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</si>
  <si>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</si>
  <si>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</si>
  <si>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</si>
  <si>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</si>
  <si>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</si>
  <si>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</si>
  <si>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</si>
  <si>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</si>
  <si>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</si>
  <si>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</si>
  <si>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</si>
  <si>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</si>
  <si>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</si>
  <si>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</si>
  <si>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</si>
  <si>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</si>
  <si>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</si>
  <si>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</si>
  <si>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</si>
  <si>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</si>
  <si>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</si>
  <si>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</si>
  <si>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</si>
  <si>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</si>
  <si>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</si>
  <si>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</si>
  <si>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</si>
  <si>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</si>
  <si>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</si>
  <si>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</si>
  <si>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</si>
  <si>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</si>
  <si>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</si>
  <si>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</si>
  <si>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</si>
  <si>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</si>
  <si>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</si>
  <si>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</si>
  <si>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</si>
  <si>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</si>
  <si>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</si>
  <si>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</si>
  <si>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</si>
  <si>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</si>
  <si>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</si>
  <si>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</si>
  <si>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</si>
  <si>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</si>
  <si>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</si>
  <si>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</si>
  <si>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</si>
  <si>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</si>
  <si>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</si>
  <si>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</si>
  <si>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</si>
  <si>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</si>
  <si>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</si>
  <si>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</si>
  <si>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</si>
  <si>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</si>
  <si>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</si>
  <si>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</si>
  <si>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</si>
  <si>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</si>
  <si>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</si>
  <si>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</si>
  <si>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</si>
  <si>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</si>
  <si>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</si>
  <si>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</si>
  <si>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</si>
  <si>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</si>
  <si>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</si>
  <si>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</si>
  <si>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RECT    </t>
  </si>
  <si>
    <t xml:space="preserve">TERM    </t>
  </si>
  <si>
    <t xml:space="preserve">TKE     </t>
  </si>
  <si>
    <t xml:space="preserve">IMP     </t>
  </si>
  <si>
    <t>GTE3</t>
  </si>
  <si>
    <t>IW4</t>
  </si>
  <si>
    <t>IW5</t>
  </si>
  <si>
    <t>IW6</t>
  </si>
  <si>
    <t>IW7</t>
  </si>
  <si>
    <t>IW8</t>
  </si>
  <si>
    <t>IW9</t>
  </si>
  <si>
    <t>IW10</t>
  </si>
  <si>
    <t>HPRWBC1</t>
  </si>
  <si>
    <t xml:space="preserve">Timestep violations [NVIOL]                </t>
  </si>
  <si>
    <t xml:space="preserve"> SNP</t>
  </si>
  <si>
    <t xml:space="preserve">tsr.csv                                                                 </t>
  </si>
  <si>
    <t xml:space="preserve">wdo.csv                                                                 </t>
  </si>
  <si>
    <t>CNAME Long name</t>
  </si>
  <si>
    <t>CAC Active constituent</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</si>
  <si>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</si>
  <si>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</si>
  <si>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</si>
  <si>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</si>
  <si>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</si>
  <si>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</si>
  <si>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</si>
  <si>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</si>
  <si>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</si>
  <si>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</si>
  <si>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</si>
  <si>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</si>
  <si>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</si>
  <si>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</si>
  <si>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</si>
  <si>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</si>
  <si>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</si>
  <si>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</si>
  <si>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</si>
  <si>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</si>
  <si>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</si>
  <si>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</si>
  <si>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</si>
  <si>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</si>
  <si>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</si>
  <si>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</si>
  <si>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</si>
  <si>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</si>
  <si>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</si>
  <si>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</si>
  <si>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</si>
  <si>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</si>
  <si>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</si>
  <si>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</si>
  <si>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</si>
  <si>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</si>
  <si>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</si>
  <si>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</si>
  <si>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</si>
  <si>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TKN     </t>
  </si>
  <si>
    <t xml:space="preserve">TN      </t>
  </si>
  <si>
    <t xml:space="preserve">DOP     </t>
  </si>
  <si>
    <t xml:space="preserve">POP     </t>
  </si>
  <si>
    <t xml:space="preserve">TOP     </t>
  </si>
  <si>
    <t xml:space="preserve">TP      </t>
  </si>
  <si>
    <t xml:space="preserve">APR     </t>
  </si>
  <si>
    <t xml:space="preserve">CHLA    </t>
  </si>
  <si>
    <t xml:space="preserve">ATOT    </t>
  </si>
  <si>
    <t xml:space="preserve">%DO     </t>
  </si>
  <si>
    <t xml:space="preserve">TSS     </t>
  </si>
  <si>
    <t xml:space="preserve">TISS    </t>
  </si>
  <si>
    <t xml:space="preserve">CBOD    </t>
  </si>
  <si>
    <t xml:space="preserve">pH      </t>
  </si>
  <si>
    <t xml:space="preserve">CO2     </t>
  </si>
  <si>
    <t xml:space="preserve">HCO3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</si>
  <si>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</si>
  <si>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</si>
  <si>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</si>
  <si>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</si>
  <si>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</si>
  <si>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</si>
  <si>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</si>
  <si>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</si>
  <si>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</si>
  <si>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</si>
  <si>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</si>
  <si>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</si>
  <si>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</si>
  <si>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</si>
  <si>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</si>
  <si>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</si>
  <si>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</si>
  <si>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</si>
  <si>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</si>
  <si>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</si>
  <si>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</si>
  <si>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</si>
  <si>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</si>
  <si>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</si>
  <si>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</si>
  <si>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</si>
  <si>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</si>
  <si>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</si>
  <si>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</si>
  <si>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</si>
  <si>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</si>
  <si>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</si>
  <si>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</si>
  <si>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</si>
  <si>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</si>
  <si>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</si>
  <si>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</si>
  <si>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</si>
  <si>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</si>
  <si>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</si>
  <si>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</si>
  <si>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</si>
  <si>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</si>
  <si>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</si>
  <si>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</si>
  <si>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</si>
  <si>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</si>
  <si>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</si>
  <si>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</si>
  <si>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</si>
  <si>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</si>
  <si>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</si>
  <si>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</si>
  <si>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</si>
  <si>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</si>
  <si>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</si>
  <si>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</si>
  <si>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</si>
  <si>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</si>
  <si>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</si>
  <si>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</si>
  <si>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</si>
  <si>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</si>
  <si>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</si>
  <si>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</si>
  <si>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</si>
  <si>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</si>
  <si>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</si>
  <si>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</si>
  <si>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</si>
  <si>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</si>
  <si>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</si>
  <si>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</si>
  <si>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</si>
  <si>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</si>
  <si>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</si>
  <si>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</si>
  <si>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</si>
  <si>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</si>
  <si>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</si>
  <si>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</si>
  <si>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</si>
  <si>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</si>
  <si>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</si>
  <si>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</si>
  <si>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 xml:space="preserve">LAKE    </t>
  </si>
  <si>
    <t>FILE NAMES</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</si>
  <si>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</si>
  <si>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</si>
  <si>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</si>
  <si>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</si>
  <si>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</si>
  <si>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</si>
  <si>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</si>
  <si>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</si>
  <si>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</si>
  <si>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</si>
  <si>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</si>
  <si>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</si>
  <si>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</si>
  <si>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</si>
  <si>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</si>
  <si>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</si>
  <si>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</si>
  <si>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</si>
  <si>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</si>
  <si>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</si>
  <si>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</si>
  <si>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</si>
  <si>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</si>
  <si>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</si>
  <si>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</si>
  <si>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</si>
  <si>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</si>
  <si>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</si>
  <si>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"Algal production, g/m^2/day                "</t>
  </si>
  <si>
    <t>"Chlorophyll a, mg/m^3                      "</t>
  </si>
  <si>
    <t>"Total algae, g/m^3                         "</t>
  </si>
  <si>
    <t>"Oxygen % Gas Saturation                    "</t>
  </si>
  <si>
    <t>"Total suspended Solids, g/m^3              "</t>
  </si>
  <si>
    <t>"Total Inorganic Suspended Solids,g/m^3     "</t>
  </si>
  <si>
    <t>"Carbonaceous Ultimate BOD, g/m^3           "</t>
  </si>
  <si>
    <t>"pH                                         "</t>
  </si>
  <si>
    <t>"CO2                                        "</t>
  </si>
  <si>
    <t>"HCO3                                       "</t>
  </si>
  <si>
    <t>"CO3                                        "</t>
  </si>
  <si>
    <t>""</t>
  </si>
  <si>
    <t>ULTIMATE</t>
  </si>
  <si>
    <t xml:space="preserve">POINT   </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</si>
  <si>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</si>
  <si>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</si>
  <si>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</si>
  <si>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</si>
  <si>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</si>
  <si>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</si>
  <si>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</si>
  <si>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</si>
  <si>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</si>
  <si>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</si>
  <si>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</si>
  <si>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</si>
  <si>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</si>
  <si>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</si>
  <si>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</si>
  <si>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</si>
  <si>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</si>
  <si>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</si>
  <si>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</si>
  <si>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</si>
  <si>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</si>
  <si>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</si>
  <si>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</si>
  <si>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</si>
  <si>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</si>
  <si>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</si>
  <si>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</si>
  <si>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Note the order of these columns for this section:</t>
  </si>
  <si>
    <t xml:space="preserve">CNAME2, CNAME, CAC, FMTC, CMULT, </t>
  </si>
  <si>
    <t>Your last column should be in COLUMN:</t>
  </si>
  <si>
    <t>ATMOSPHERIC DEPOSITION</t>
  </si>
  <si>
    <t>C_Atm_Depositon</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</si>
  <si>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</si>
  <si>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</si>
  <si>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</si>
  <si>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</si>
  <si>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</si>
  <si>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</si>
  <si>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</si>
  <si>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</si>
  <si>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</si>
  <si>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</si>
  <si>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</si>
  <si>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</si>
  <si>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</si>
  <si>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</si>
  <si>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</si>
  <si>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</si>
  <si>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</si>
  <si>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</si>
  <si>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</si>
  <si>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</si>
  <si>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</si>
  <si>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</si>
  <si>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</si>
  <si>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</si>
  <si>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</si>
  <si>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</si>
  <si>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</si>
  <si>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</si>
  <si>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</si>
  <si>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</si>
  <si>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</si>
  <si>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</si>
  <si>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</si>
  <si>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</si>
  <si>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</si>
  <si>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</si>
  <si>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'habitat.csv'</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</si>
  <si>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</si>
  <si>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</si>
  <si>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</si>
  <si>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</si>
  <si>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</si>
  <si>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</si>
  <si>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</si>
  <si>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</si>
  <si>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</si>
  <si>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</si>
  <si>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</si>
  <si>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</si>
  <si>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</si>
  <si>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</si>
  <si>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</si>
  <si>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</si>
  <si>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</si>
  <si>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</si>
  <si>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</si>
  <si>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</si>
  <si>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</si>
  <si>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</si>
  <si>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</si>
  <si>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</si>
  <si>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</si>
  <si>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</si>
  <si>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</si>
  <si>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</si>
  <si>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</si>
  <si>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</si>
  <si>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</si>
  <si>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</si>
  <si>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</si>
  <si>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</si>
  <si>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</si>
  <si>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</si>
  <si>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</si>
  <si>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</si>
  <si>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</si>
  <si>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</si>
  <si>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</si>
  <si>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</si>
  <si>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</si>
  <si>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</si>
  <si>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</si>
  <si>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</si>
  <si>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</si>
  <si>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</si>
  <si>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</si>
  <si>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</si>
  <si>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</si>
  <si>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</si>
  <si>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</si>
  <si>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</si>
  <si>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</si>
  <si>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</si>
  <si>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</si>
  <si>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</si>
  <si>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</si>
  <si>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</si>
  <si>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</si>
  <si>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</si>
  <si>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</si>
  <si>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</si>
  <si>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</si>
  <si>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</si>
  <si>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</si>
  <si>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</si>
  <si>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</si>
  <si>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</si>
  <si>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</si>
  <si>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</si>
  <si>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</si>
  <si>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</si>
  <si>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</si>
  <si>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</si>
  <si>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</si>
  <si>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</si>
  <si>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</si>
  <si>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</si>
  <si>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</si>
  <si>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</si>
  <si>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</si>
  <si>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</si>
  <si>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</si>
  <si>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</si>
  <si>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</si>
  <si>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</si>
  <si>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</si>
  <si>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</si>
  <si>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</si>
  <si>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</si>
  <si>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</si>
  <si>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</si>
  <si>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</si>
  <si>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</si>
  <si>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</si>
  <si>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</si>
  <si>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</si>
  <si>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</si>
  <si>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</si>
  <si>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</si>
  <si>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</si>
  <si>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</si>
  <si>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</si>
  <si>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</si>
  <si>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</si>
  <si>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</si>
  <si>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</si>
  <si>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</si>
  <si>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</si>
  <si>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</si>
  <si>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</si>
  <si>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</si>
  <si>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</si>
  <si>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</si>
  <si>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</si>
  <si>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</si>
  <si>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</si>
  <si>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</si>
  <si>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</si>
  <si>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</si>
  <si>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</si>
  <si>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</si>
  <si>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</si>
  <si>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</si>
  <si>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</si>
  <si>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</si>
  <si>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</si>
  <si>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</si>
  <si>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</si>
  <si>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</si>
  <si>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</si>
  <si>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</si>
  <si>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</si>
  <si>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</si>
  <si>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</si>
  <si>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</si>
  <si>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</si>
  <si>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</si>
  <si>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</si>
  <si>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</si>
  <si>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</si>
  <si>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</si>
  <si>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</si>
  <si>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</si>
  <si>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</si>
  <si>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</si>
  <si>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</si>
  <si>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</si>
  <si>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</si>
  <si>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</si>
  <si>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</si>
  <si>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</si>
  <si>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</si>
  <si>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</si>
  <si>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</si>
  <si>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</si>
  <si>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</si>
  <si>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</si>
  <si>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</si>
  <si>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</si>
  <si>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</si>
  <si>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</si>
  <si>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</si>
  <si>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</si>
  <si>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</si>
  <si>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</si>
  <si>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</si>
  <si>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</si>
  <si>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</si>
  <si>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</si>
  <si>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</si>
  <si>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</si>
  <si>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</si>
  <si>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</si>
  <si>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</si>
  <si>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</si>
  <si>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</si>
  <si>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</si>
  <si>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</si>
  <si>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</si>
  <si>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</si>
  <si>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</si>
  <si>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</si>
  <si>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</si>
  <si>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</si>
  <si>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</si>
  <si>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</si>
  <si>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</si>
  <si>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</si>
  <si>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</si>
  <si>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</si>
  <si>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</si>
  <si>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</si>
  <si>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</si>
  <si>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</si>
  <si>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</si>
  <si>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</si>
  <si>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</si>
  <si>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</si>
  <si>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</si>
  <si>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</si>
  <si>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</si>
  <si>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</si>
  <si>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</si>
  <si>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</si>
  <si>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</si>
  <si>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</si>
  <si>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</si>
  <si>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</si>
  <si>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TMEND</t>
  </si>
  <si>
    <t>Fill in these with real dates and the Julian dates will be filled in automatically</t>
  </si>
  <si>
    <t>These are computed from formula in Column A--&gt;</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</si>
  <si>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</si>
  <si>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</si>
  <si>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</si>
  <si>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</si>
  <si>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</si>
  <si>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</si>
  <si>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</si>
  <si>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</si>
  <si>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</si>
  <si>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New derived variable NH3, requires pH also</t>
  </si>
  <si>
    <t>NEW</t>
  </si>
  <si>
    <t>NH3 gas transfer: Kg_H20_Constant in calculation of Kg_H2O based on Wind</t>
  </si>
  <si>
    <t>NH3 gas loss - sink, kg/day</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</si>
  <si>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</si>
  <si>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</si>
  <si>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</si>
  <si>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</si>
  <si>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</si>
  <si>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</si>
  <si>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</si>
  <si>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</si>
  <si>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</si>
  <si>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</si>
  <si>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</si>
  <si>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</si>
  <si>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</si>
  <si>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</si>
  <si>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</si>
  <si>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</si>
  <si>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</si>
  <si>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</si>
  <si>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</si>
  <si>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</si>
  <si>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</si>
  <si>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</si>
  <si>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</si>
  <si>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</si>
  <si>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</si>
  <si>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</si>
  <si>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</si>
  <si>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</si>
  <si>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</si>
  <si>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</si>
  <si>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</si>
  <si>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</si>
  <si>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</si>
  <si>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</si>
  <si>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</si>
  <si>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</si>
  <si>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WaterAge</t>
  </si>
  <si>
    <t>Bacteria</t>
  </si>
  <si>
    <t>DGP</t>
  </si>
  <si>
    <t>N2</t>
  </si>
  <si>
    <t>SO4</t>
  </si>
  <si>
    <t>FEII</t>
  </si>
  <si>
    <t>FEOOH</t>
  </si>
  <si>
    <t>MnII</t>
  </si>
  <si>
    <t>MnO2</t>
  </si>
  <si>
    <t>ORGCC</t>
  </si>
  <si>
    <t>TDG</t>
  </si>
  <si>
    <t>Turbidity</t>
  </si>
  <si>
    <t>Secchi disk computed from correlation with light extinction coefficient</t>
  </si>
  <si>
    <t>SECCHI</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</si>
  <si>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</si>
  <si>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</si>
  <si>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</si>
  <si>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</si>
  <si>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</si>
  <si>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</si>
  <si>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</si>
  <si>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</si>
  <si>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</si>
  <si>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</si>
  <si>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</si>
  <si>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</si>
  <si>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</si>
  <si>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</si>
  <si>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</si>
  <si>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</si>
  <si>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</si>
  <si>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</si>
  <si>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</si>
  <si>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</si>
  <si>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</si>
  <si>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</si>
  <si>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</si>
  <si>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</si>
  <si>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</si>
  <si>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</si>
  <si>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</si>
  <si>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</si>
  <si>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</si>
  <si>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</si>
  <si>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</si>
  <si>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</si>
  <si>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</si>
  <si>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</si>
  <si>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</si>
  <si>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</si>
  <si>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</si>
  <si>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</si>
  <si>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</si>
  <si>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</si>
  <si>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</si>
  <si>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</si>
  <si>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</si>
  <si>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</si>
  <si>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</si>
  <si>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</si>
  <si>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</si>
  <si>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</si>
  <si>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</si>
  <si>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</si>
  <si>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</si>
  <si>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</si>
  <si>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</si>
  <si>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</si>
  <si>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</si>
  <si>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</si>
  <si>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</si>
  <si>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</si>
  <si>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</si>
  <si>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</si>
  <si>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</si>
  <si>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</si>
  <si>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</si>
  <si>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</si>
  <si>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</si>
  <si>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</si>
  <si>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</si>
  <si>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</si>
  <si>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</si>
  <si>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</si>
  <si>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</si>
  <si>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</si>
  <si>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</si>
  <si>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TSS</t>
  </si>
  <si>
    <t>NTU</t>
  </si>
  <si>
    <t>Example calculation for Turbidity and Turbidity:</t>
  </si>
  <si>
    <t>SSCS - if = -1.0, this is mature fine tailings for the sediment diagenesis model</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</si>
  <si>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</si>
  <si>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</si>
  <si>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</si>
  <si>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</si>
  <si>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</si>
  <si>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</si>
  <si>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</si>
  <si>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</si>
  <si>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</si>
  <si>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</si>
  <si>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</si>
  <si>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</si>
  <si>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</si>
  <si>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</si>
  <si>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</si>
  <si>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</si>
  <si>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</si>
  <si>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</si>
  <si>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</si>
  <si>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</si>
  <si>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</si>
  <si>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</si>
  <si>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</si>
  <si>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</si>
  <si>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</si>
  <si>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</si>
  <si>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</si>
  <si>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</si>
  <si>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</si>
  <si>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</si>
  <si>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</si>
  <si>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</si>
  <si>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</si>
  <si>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</si>
  <si>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</si>
  <si>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</si>
  <si>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</si>
  <si>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</si>
  <si>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</si>
  <si>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</si>
  <si>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</si>
  <si>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</si>
  <si>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</si>
  <si>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</si>
  <si>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</si>
  <si>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</si>
  <si>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</si>
  <si>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</si>
  <si>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</si>
  <si>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</si>
  <si>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</si>
  <si>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</si>
  <si>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</si>
  <si>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</si>
  <si>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ATMDEPFN atmospheric deposition file name</t>
  </si>
  <si>
    <t>Debug Output(1-ON/0-OFF)</t>
  </si>
  <si>
    <t>NumAlgaeGroups# of algae groups that migrate</t>
  </si>
  <si>
    <t>$ W2_diagenesis input file</t>
  </si>
  <si>
    <t>$ All lines at top of file starting with $ are comments and disregarded by the model</t>
  </si>
  <si>
    <t>$ 08/29/2020 Additional inputs are required if a group switch is ON</t>
  </si>
  <si>
    <t>$ Zhong Zhang</t>
  </si>
  <si>
    <t xml:space="preserve">  .TRUE.</t>
  </si>
  <si>
    <t xml:space="preserve">  .FALSE.</t>
  </si>
  <si>
    <t>w2_diagenesis.npt!A1</t>
  </si>
  <si>
    <t>"Global Switch for all sediment diagenesis features"</t>
  </si>
  <si>
    <t>"Include sediment diagenesis simulation"</t>
  </si>
  <si>
    <t>"Include bubble release"</t>
  </si>
  <si>
    <t>"Include POM resuspension"</t>
  </si>
  <si>
    <t>"Include modeling of alkalinity/pH in sediments"</t>
  </si>
  <si>
    <t>"Include modeling of Iron (FeOOH and Fe(II)) in sediments"</t>
  </si>
  <si>
    <t>"Include modeling of Manganese (Mn(II) and MnO2) in sediments"</t>
  </si>
  <si>
    <t>"Number of regions for different initial sediment concentrations"</t>
  </si>
  <si>
    <t>"Starting segment for regions"</t>
  </si>
  <si>
    <t>"Ending segment for regions"</t>
  </si>
  <si>
    <t>"Initial sediment temperature oC"</t>
  </si>
  <si>
    <t>"Initial POC (total) concentration mgC/L"</t>
  </si>
  <si>
    <t>"Initial PON (total) concentration mgN/L"</t>
  </si>
  <si>
    <t>"Initial POP (total) concentration mgP/L"</t>
  </si>
  <si>
    <t>"Initial SO4 concentration mgS/L"</t>
  </si>
  <si>
    <t>"Initial dissolved NH4 concentration mgN/L"</t>
  </si>
  <si>
    <t>"Initial dissolved NO3 concentration mgN/L"</t>
  </si>
  <si>
    <t>"Initial total PO4 concentration mgP/L"</t>
  </si>
  <si>
    <t>"Initial dissolved H2S concentration mgS/L"</t>
  </si>
  <si>
    <t>"Initial CH4 concentration mgC/L"</t>
  </si>
  <si>
    <t>"Initial TIC concentration mgC/L"</t>
  </si>
  <si>
    <t>"Number of regions for different diagenesis related rates"</t>
  </si>
  <si>
    <t>"Fraction of labile POC"</t>
  </si>
  <si>
    <t>"Fraction of refractory POC"</t>
  </si>
  <si>
    <t>"Fraction of labile PON"</t>
  </si>
  <si>
    <t>"Fraction of refractory PON"</t>
  </si>
  <si>
    <t>"Fraction of labile POP"</t>
  </si>
  <si>
    <t>"Fraction of refractory POP"</t>
  </si>
  <si>
    <t>"Pore water diffusion coefficient m2/d"</t>
  </si>
  <si>
    <t>"Particle mixing velocity between aerobic and anaerobic layers m2/d"</t>
  </si>
  <si>
    <t>"Burial velocity m/d"</t>
  </si>
  <si>
    <t>"CH4 production calculation method (0: Analytical  1: Numerical)"</t>
  </si>
  <si>
    <t>"DO threshold for aerobic layer oxidation rates mgO2/L"</t>
  </si>
  <si>
    <t>"Nitrification rate in aerobic layer at DO below threshold m/d"</t>
  </si>
  <si>
    <t>"Nitrification rate in aerobic layer at DO above threshold m/d"</t>
  </si>
  <si>
    <t>"Denitrification rate in aerobic layer at DO below threshold m/d"</t>
  </si>
  <si>
    <t>"Denitrification rate in aerobic layer at DO above threshold m/d"</t>
  </si>
  <si>
    <t>"Denitrification rate in anerobic layer m/d"</t>
  </si>
  <si>
    <t>"CH4 oxidation rate in aerobic layer m/d"</t>
  </si>
  <si>
    <t>"Half-saturation oxygen constant for CH4 oxidation mg-O2/L"</t>
  </si>
  <si>
    <t>"Nitrification half-saturation constant for NH4 in aerobic layer mgN/L"</t>
  </si>
  <si>
    <t>"Nitrification half-saturation constant for O2 in aerobic layer mgO2/L"</t>
  </si>
  <si>
    <t>"Temperature coefficient for pore water diffusion between layers"</t>
  </si>
  <si>
    <t>"Temperature coefficient for particle mixing diffusion coefficient"</t>
  </si>
  <si>
    <t>"Temperature coefficient for nitrification"</t>
  </si>
  <si>
    <t>"Temperature coefficient for denitrification"</t>
  </si>
  <si>
    <t>"Temperature coefficient for methane oxidation"</t>
  </si>
  <si>
    <t>"SO4 concentration above which sulfide over methane is produced mgS/L"</t>
  </si>
  <si>
    <t>"H2S oxidation rate in aerobic layer m/d"</t>
  </si>
  <si>
    <t>"Temperature coefficient for H2S oxidation"</t>
  </si>
  <si>
    <t>"H2S oxidation normalization constant for O2 mgO2/L"</t>
  </si>
  <si>
    <t>"Diagenesis rate for labile POC (G1) 1/d"</t>
  </si>
  <si>
    <t>"Diagenesis rate for refractory POC (G2) 1/d"</t>
  </si>
  <si>
    <t>"Diagenesis rate for inert/slow refractory POC (G3) 1/d"</t>
  </si>
  <si>
    <t>"Diagenesis rate for labile PON (G1) 1/d"</t>
  </si>
  <si>
    <t>"Diagenesis rate for refractory PON (G2) 1/d"</t>
  </si>
  <si>
    <t>"Diagenesis rate for inert/slow refractory PON (G3) 1/d"</t>
  </si>
  <si>
    <t>"Diagenesis rate for labile POP (G1) 1/d"</t>
  </si>
  <si>
    <t>"Diagenesis rate for refractory POP (G2) 1/d"</t>
  </si>
  <si>
    <t>"Diagenesis rate for inert/slow refractory POP (G3) 1/d"</t>
  </si>
  <si>
    <t>"Temperature coefficient for labile POC"</t>
  </si>
  <si>
    <t>"Temperature coefficient for refractory POC"</t>
  </si>
  <si>
    <t>"Temperature coefficient for inert/slow refractory POC"</t>
  </si>
  <si>
    <t>"Temperature coefficient for labile PON"</t>
  </si>
  <si>
    <t>"Temperature coefficient for refractory PON"</t>
  </si>
  <si>
    <t>"Temperature coefficient for inert/slow refractory PON"</t>
  </si>
  <si>
    <t>"Temperature coefficient for labile POP"</t>
  </si>
  <si>
    <t>"Temperature coefficient for refractory POP"</t>
  </si>
  <si>
    <t>"Temperature coefficient for inert/slow refractory POP"</t>
  </si>
  <si>
    <t>"PO4 sorption coefficient in anaerobic layer m^3/kg"</t>
  </si>
  <si>
    <t>"Incremental PO4 partition coefficient"</t>
  </si>
  <si>
    <t>"Critical oxygen concentration for incremental sorption mg-O2/L"</t>
  </si>
  <si>
    <t>"NH4 sorption coefficient in aerobic layer m^3/kg"</t>
  </si>
  <si>
    <t>"NH4 sorption coefficient in anaerobic layer m^3/kg"</t>
  </si>
  <si>
    <t>"H2S sorption coefficient in aerobic layer m^3/kg"</t>
  </si>
  <si>
    <t>"H2S sorption coefficient in anaerobic layer m^3/kg"</t>
  </si>
  <si>
    <t>"Write sediment fluxes"</t>
  </si>
  <si>
    <t>"Frequency of output days"</t>
  </si>
  <si>
    <t>"Include bed consolidation"</t>
  </si>
  <si>
    <t>"Include FFT layer (Fine Fluids Tailing - for Pit Lakes)"</t>
  </si>
  <si>
    <t>"FFT layer number of periods"</t>
  </si>
  <si>
    <t>"FFT layer start times"</t>
  </si>
  <si>
    <t>"FFT layer end times"</t>
  </si>
  <si>
    <t>"Initial tailings concentration in FFT (gm/m3)"</t>
    <phoneticPr fontId="0" type="noConversion"/>
  </si>
  <si>
    <t>"Sediment settling velocity of FFT to MFT (m/d)"</t>
  </si>
  <si>
    <t>"Move FFT layer during consolidation"</t>
    <phoneticPr fontId="0" type="noConversion"/>
  </si>
  <si>
    <t>.FALSE.</t>
  </si>
  <si>
    <t>"Fraction of layer thickness at which water layer is added"</t>
  </si>
  <si>
    <t>"Number of bed consolidation regions”</t>
  </si>
  <si>
    <t>"Starting segment for regions”</t>
  </si>
  <si>
    <t>"Ending segment for regions”</t>
  </si>
  <si>
    <t>"Data type for bed consolidation for each region (0: Constant, 1: Time varying)"</t>
  </si>
  <si>
    <t>"Bed consolidation rate (m/d)"</t>
  </si>
  <si>
    <t>"Bed consolidation data file"</t>
  </si>
  <si>
    <t>Regn.npt</t>
  </si>
  <si>
    <t>"Initial bed thickness in meters"</t>
    <phoneticPr fontId="0" type="noConversion"/>
  </si>
  <si>
    <t>"Initial sediment bed porosity"</t>
    <phoneticPr fontId="0" type="noConversion"/>
  </si>
  <si>
    <t>"Sediment bed particle size in microns"</t>
    <phoneticPr fontId="0" type="noConversion"/>
  </si>
  <si>
    <t>"Sediment type (1: Cohesive, 2: Non-cohesive)"</t>
  </si>
  <si>
    <t>"Sediment bulk density (kg/m3)"</t>
    <phoneticPr fontId="0" type="noConversion"/>
  </si>
  <si>
    <t>"Sediment particle settling velocity (m/d)"</t>
    <phoneticPr fontId="0" type="noConversion"/>
  </si>
  <si>
    <t>"Include sediment resuspension and deposition processes"</t>
    <phoneticPr fontId="0" type="noConversion"/>
  </si>
  <si>
    <t>"Gas diffusion coefficient in sediment in m/s"</t>
    <phoneticPr fontId="0" type="noConversion"/>
  </si>
  <si>
    <t>1.0d-9</t>
  </si>
  <si>
    <t>"Calibration parameter R1 in m"</t>
    <phoneticPr fontId="0" type="noConversion"/>
  </si>
  <si>
    <t>"Young's modulus E in N/m2"</t>
    <phoneticPr fontId="0" type="noConversion"/>
  </si>
  <si>
    <t>1.4d+9</t>
  </si>
  <si>
    <t>"Critical stress intensity factor for sediments K1c in N/m^3/2"</t>
    <phoneticPr fontId="0" type="noConversion"/>
  </si>
  <si>
    <t>"Bubbles release scale"</t>
    <phoneticPr fontId="0" type="noConversion"/>
  </si>
  <si>
    <t>"Fraction of critical pressure at which cracks close"</t>
    <phoneticPr fontId="0" type="noConversion"/>
  </si>
  <si>
    <t>"Switch to limit bubble size"</t>
    <phoneticPr fontId="0" type="noConversion"/>
  </si>
  <si>
    <t>.TRUE.</t>
  </si>
  <si>
    <t>"Maximum bubble radius in mm"</t>
    <phoneticPr fontId="0" type="noConversion"/>
  </si>
  <si>
    <t>"Switch to use slow release of bubbles"</t>
    <phoneticPr fontId="0" type="noConversion"/>
  </si>
  <si>
    <t>"Bubbles release fraction (sediments)"</t>
    <phoneticPr fontId="0" type="noConversion"/>
  </si>
  <si>
    <t>"Bubbles accumulation fraction"</t>
    <phoneticPr fontId="0" type="noConversion"/>
  </si>
  <si>
    <t>"Number of bubbles release array"</t>
    <phoneticPr fontId="0" type="noConversion"/>
  </si>
  <si>
    <t>"Bubbles release fraction (atmosphere)"</t>
    <phoneticPr fontId="0" type="noConversion"/>
  </si>
  <si>
    <t>"Bubbles-water gas exchange rate (1/s)"</t>
  </si>
  <si>
    <t>1.0d-7</t>
  </si>
  <si>
    <t>"Apply additional turbulence due to bubbles release"</t>
    <phoneticPr fontId="0" type="noConversion"/>
  </si>
  <si>
    <t>"Turbulence scaling factor for bubbles release"</t>
    <phoneticPr fontId="0" type="noConversion"/>
  </si>
  <si>
    <t>"Critical shear stress for POM resuspension dynes/cm^2"</t>
  </si>
  <si>
    <t>"Critical Shields parameter for POM"</t>
    <phoneticPr fontId="0" type="noConversion"/>
  </si>
  <si>
    <t>"Use Cao method to estimate critical Shields parameter (rather than using input value)"</t>
    <phoneticPr fontId="0" type="noConversion"/>
  </si>
  <si>
    <t>"POM specific gravity"</t>
  </si>
  <si>
    <t>"POM particle diameter m"</t>
  </si>
  <si>
    <t>"Fe(II) sorption coefficient in aerobic layer m^3/g"</t>
  </si>
  <si>
    <t>"Fe(II) sorption coefficient in anaerobic layer m^3/g"</t>
  </si>
  <si>
    <t>"Mn(II) sorption coefficient in aerobic layer m^3/g"</t>
  </si>
  <si>
    <t>"Mn(II) sorption coefficient in anaerobic layer  m^3/g"</t>
  </si>
  <si>
    <t>FFT group</t>
  </si>
  <si>
    <t>Read(CEMAFilN,*)MessageTemp, LayerAddThkFrac</t>
  </si>
  <si>
    <t xml:space="preserve">    Read(CEMAFilN,*)MessageTemp, NumConsolidRegns</t>
  </si>
  <si>
    <t xml:space="preserve">    Read(CEMAFilN,*)MessageTemp, (ConsRegSegSt(i), i = 1, NumConsolidRegns)</t>
  </si>
  <si>
    <t xml:space="preserve">    Read(CEMAFilN,*)MessageTemp, (ConsRegSegEn(i), i = 1, NumConsolidRegns)</t>
  </si>
  <si>
    <t xml:space="preserve">    Read(CEMAFilN,*)MessageTemp, (ConsolidationType(i), i = 1, NumConsolidRegns)</t>
  </si>
  <si>
    <t xml:space="preserve">    Read(CEMAFilN,*)MessageTemp, (ConstConsolidRate(i), i = 1, NumConsolidRegns)</t>
  </si>
  <si>
    <t xml:space="preserve">    Read(CEMAFilN,*)MessageTemp, ConsolidRateRegnFil</t>
  </si>
  <si>
    <t xml:space="preserve">    Read(CEMAFilN,*)MessageTemp, BedElevationInit</t>
  </si>
  <si>
    <t xml:space="preserve">    Read(CEMAFilN,*)MessageTemp, BedPorosityInit</t>
  </si>
  <si>
    <t xml:space="preserve">      Read(CEMAFilN,*)MessageTemp, CEMAParticleSize</t>
  </si>
  <si>
    <t xml:space="preserve">      Read(CEMAFilN,*)MessageTemp, CEMASedimentType</t>
  </si>
  <si>
    <t xml:space="preserve">    Read(CEMAFilN,*)MessageTemp, CEMASedimentDensity</t>
  </si>
  <si>
    <t xml:space="preserve">    Read(CEMAFilN,*)MessageTemp, CEMASedimentSVelocity</t>
  </si>
  <si>
    <t xml:space="preserve">      Read(CEMAFilN,*)MessageTemp, CEMASedimentProcessesInc</t>
  </si>
  <si>
    <t>Bed characteristics group</t>
  </si>
  <si>
    <t xml:space="preserve">        Read(CEMAFilN,*)MessageTemp, (FFTActPrdSt(i), i = 1, NumFFTActivePrds) </t>
  </si>
  <si>
    <t xml:space="preserve">        Read(CEMAFilN,*)MessageTemp, (FFTActPrdEn(i), i = 1, NumFFTActivePrds)</t>
  </si>
  <si>
    <t xml:space="preserve">        Read(CEMAFilN,*)MessageTemp, InitFFTLayerConc</t>
  </si>
  <si>
    <t xml:space="preserve">        Read(CEMAFilN,*)MessageTemp, FFTLayerSettVel</t>
  </si>
  <si>
    <t xml:space="preserve">        Read(CEMAFilN,*)MessageTemp, MoveFFTLayerDown</t>
  </si>
  <si>
    <t xml:space="preserve">  Read(CEMAFilN,*)MessageTemp, NumFFTActivePrds</t>
  </si>
  <si>
    <t>Bed consolidation</t>
  </si>
  <si>
    <t>Sediment characteristics</t>
  </si>
  <si>
    <t>Bubble characteristics</t>
  </si>
  <si>
    <t xml:space="preserve">        Read(CEMAFilN,*)MessageTemp, WriteBESnp</t>
  </si>
  <si>
    <t xml:space="preserve">        Read(CEMAFilN,*)MessageTemp, WritePWSnp</t>
  </si>
  <si>
    <t>"Write bed elevation snapshot output"</t>
  </si>
  <si>
    <t>"Write bed porosity snapshot output"</t>
  </si>
  <si>
    <t xml:space="preserve"> Read(CEMAFilN,*)MessageTemp, GasDiff_Sed    ! in m^2/s</t>
  </si>
  <si>
    <t xml:space="preserve">        Read(CEMAFilN,*)MessageTemp, CalibParam_R1</t>
  </si>
  <si>
    <t xml:space="preserve">        Read(CEMAFilN,*)MessageTemp, YoungModulus</t>
  </si>
  <si>
    <t xml:space="preserve">        Read(CEMAFilN,*)MessageTemp, CritStressIF</t>
  </si>
  <si>
    <t xml:space="preserve">        Read(CEMAFilN,*)MessageTemp, BubbRelScale</t>
  </si>
  <si>
    <t xml:space="preserve">        Read(CEMAFilN,*)MessageTemp, CrackCloseFraction</t>
  </si>
  <si>
    <t xml:space="preserve">        Read(CEMAFilN,*)MessageTemp, LimBubbSize</t>
  </si>
  <si>
    <t xml:space="preserve">        Read(CEMAFilN,*)MessageTemp, MaxBubbRad</t>
  </si>
  <si>
    <t xml:space="preserve">        Read(CEMAFilN,*)MessageTemp, UseReleaseFraction</t>
  </si>
  <si>
    <t xml:space="preserve">        Read(CEMAFilN,*)MessageTemp, BubbRelFraction</t>
  </si>
  <si>
    <t xml:space="preserve">        Read(CEMAFilN,*)MessageTemp, BubbAccFraction</t>
  </si>
  <si>
    <t xml:space="preserve">        Read(CEMAFilN,*)MessageTemp, NumBubRelArr</t>
  </si>
  <si>
    <t xml:space="preserve">        Read(CEMAFilN,*)MessageTemp, BubbRelFractionAtm</t>
  </si>
  <si>
    <t xml:space="preserve">        Read(CEMAFilN,*)MessageTemp, BubbWatGasExchRate</t>
  </si>
  <si>
    <t xml:space="preserve">        Read(CEMAFilN,*)MessageTemp, ApplyBubbTurb</t>
  </si>
  <si>
    <t xml:space="preserve">        Read(CEMAFilN,*)MessageTemp, CEMATurbulenceScaling</t>
  </si>
  <si>
    <t>Region1</t>
  </si>
  <si>
    <t>Region2</t>
  </si>
  <si>
    <t>Region3</t>
  </si>
  <si>
    <t>Region4</t>
  </si>
  <si>
    <t>Region5</t>
  </si>
  <si>
    <t>KFEOOH_HalfSat Half-saturation constant for O2 for FeOOH reduction to Fe(II) g/m3</t>
  </si>
  <si>
    <t>KFE_OXID Rate of Fe oxidation under oxic conditions, m3 d-1 g-1</t>
  </si>
  <si>
    <t xml:space="preserve">        Read(CEMAFilN,*)MessageTemp, IncludeAlkalinity</t>
  </si>
  <si>
    <t xml:space="preserve">        Read(CEMAFilN,*)MessageTemp, IncludeIron        </t>
  </si>
  <si>
    <t xml:space="preserve">        Read(CEMAFilN,*)MessageTemp, IncludeManganese</t>
  </si>
  <si>
    <t xml:space="preserve">          Read(CEMAFilN,*)MessageTemp, TAUCRPOM</t>
  </si>
  <si>
    <t xml:space="preserve">          Read(CEMAFilN,*)MessageTemp, crshields</t>
  </si>
  <si>
    <t xml:space="preserve">          Read(CEMAFilN,*)MessageTemp, cao_method</t>
  </si>
  <si>
    <t xml:space="preserve">          Read(CEMAFilN,*)MessageTemp, spgrav_POM</t>
  </si>
  <si>
    <t xml:space="preserve">          Read(CEMAFilN,*)MessageTemp, dia_POM</t>
  </si>
  <si>
    <t>These can be different regions than above</t>
  </si>
  <si>
    <t>"Initial Iron Oxyhydroxide concentration for each region mgFe/l,"</t>
  </si>
  <si>
    <t>"Initial Mn(II) concentration for each region mgMn/l,"</t>
  </si>
  <si>
    <t>"Initial manganese dioxide concentration for each region mgMn/l,"</t>
  </si>
  <si>
    <t xml:space="preserve">        Read(CEMAFilN,*)MessageTemp, (SedBedInitRegSegSt(i), i = 1, NumRegnsSedimentBedComposition)</t>
  </si>
  <si>
    <t xml:space="preserve">        Read(CEMAFilN,*)MessageTemp, (SedBedInitRegSegEn(i), i = 1, NumRegnsSedimentBedComposition)</t>
  </si>
  <si>
    <t xml:space="preserve">        Read(CEMAFilN,*)MessageTemp, (SDRegnT_T(i),   i = 1, NumRegnsSedimentBedComposition)</t>
  </si>
  <si>
    <t xml:space="preserve">            Read(CEMAFilN,*)MessageTemp, (SDRegnpH(i), i = 1, NumRegnsSedimentBedComposition) </t>
  </si>
  <si>
    <t xml:space="preserve">        Read(CEMAFilN,*)MessageTemp, (SDRegnPOC_T(i), i = 1, NumRegnsSedimentBedComposition)</t>
  </si>
  <si>
    <t xml:space="preserve">        Read(CEMAFilN,*)MessageTemp, (SDRegnPON_T(i), i = 1, NumRegnsSedimentBedComposition)</t>
  </si>
  <si>
    <t xml:space="preserve">        Read(CEMAFilN,*)MessageTemp, (SDRegnPOP_T(i), i = 1, NumRegnsSedimentBedComposition)</t>
  </si>
  <si>
    <t xml:space="preserve">        Read(CEMAFilN,*)MessageTemp, (SDRegnSul_T(i), i = 1, NumRegnsSedimentBedComposition)</t>
  </si>
  <si>
    <t xml:space="preserve">        Read(CEMAFilN,*)MessageTemp, (SDRegnNH3_T(i), i = 1, NumRegnsSedimentBedComposition)</t>
  </si>
  <si>
    <t xml:space="preserve">        Read(CEMAFilN,*)MessageTemp, (SDRegnNO3_T(i), i = 1, NumRegnsSedimentBedComposition)</t>
  </si>
  <si>
    <t xml:space="preserve">        Read(CEMAFilN,*)MessageTemp, (SDRegnPO4_T(i), i = 1, NumRegnsSedimentBedComposition)</t>
  </si>
  <si>
    <t xml:space="preserve">        Read(CEMAFilN,*)MessageTemp, (SDRegnH2S_T(i), i = 1, NumRegnsSedimentBedComposition)</t>
  </si>
  <si>
    <t xml:space="preserve">        Read(CEMAFilN,*)MessageTemp, (SDRegnCH4_T(i), i = 1, NumRegnsSedimentBedComposition)</t>
  </si>
  <si>
    <t xml:space="preserve">        Read(CEMAFilN,*)MessageTemp, (SDRegnTIC_T(i), i = 1, NumRegnsSedimentBedComposition)</t>
  </si>
  <si>
    <t xml:space="preserve">            Read(CEMAFilN,*)MessageTemp, (SDRegnALK_T(i), i = 1, NumRegnsSedimentBedComposition)</t>
  </si>
  <si>
    <t xml:space="preserve">          Read(CEMAFilN,*)MessageTemp, (SDRegnFe2_T(i),   i = 1, NumRegnsSedimentBedComposition)</t>
  </si>
  <si>
    <t xml:space="preserve">          Read(CEMAFilN,*)MessageTemp, (SDRegnFeOOH_T(i), i = 1, NumRegnsSedimentBedComposition)</t>
  </si>
  <si>
    <t xml:space="preserve">          Read(CEMAFilN,*)MessageTemp, (SDRegnMn2_T(i),  i = 1, NumRegnsSedimentBedComposition)</t>
  </si>
  <si>
    <t xml:space="preserve">          Read(CEMAFilN,*)MessageTemp, (SDRegnMnO2_T(i), i = 1, NumRegnsSedimentBedComposition)</t>
  </si>
  <si>
    <t>"Initial Alkalinity concentration for each region mg/l as CaCO3"</t>
  </si>
  <si>
    <t>"Initial Ferrous Iron concentration for each region mgFe/l"</t>
  </si>
  <si>
    <t xml:space="preserve">        Read(CEMAFilN,*)MessageTemp, (SedBedDiaRCRegSegSt(i),     i = 1, NumRegnsSedimentDiagenesis)</t>
  </si>
  <si>
    <t xml:space="preserve">        Read(CEMAFilN,*)MessageTemp, (SedBedDiaRCRegSegEn(i),     i = 1, NumRegnsSedimentDiagenesis)</t>
  </si>
  <si>
    <t xml:space="preserve">        Read(CEMAFilN,*)MessageTemp, (SDRegnPOC_L_Fr(i),          i = 1, NumRegnsSedimentDiagenesis)</t>
  </si>
  <si>
    <t xml:space="preserve">        Read(CEMAFilN,*)MessageTemp, (SDRegnPOC_R_Fr(i),          i = 1, NumRegnsSedimentDiagenesis)</t>
  </si>
  <si>
    <t xml:space="preserve">        Read(CEMAFilN,*)MessageTemp, (SDRegnPON_L_Fr(i),          i = 1, NumRegnsSedimentDiagenesis)</t>
  </si>
  <si>
    <t xml:space="preserve">        Read(CEMAFilN,*)MessageTemp, (SDRegnPON_R_Fr(i),          i = 1, NumRegnsSedimentDiagenesis)</t>
  </si>
  <si>
    <t xml:space="preserve">        Read(CEMAFilN,*)MessageTemp, (SDRegnPOP_L_Fr(i),          i = 1, NumRegnsSedimentDiagenesis)</t>
  </si>
  <si>
    <t xml:space="preserve">        Read(CEMAFilN,*)MessageTemp, (SDRegnPOP_R_Fr(i),          i = 1, NumRegnsSedimentDiagenesis)</t>
  </si>
  <si>
    <t xml:space="preserve">        Read(CEMAFilN,*)MessageTemp, (SDRegnPW_DiffCoeff(i),      i = 1, NumRegnsSedimentDiagenesis)</t>
  </si>
  <si>
    <t xml:space="preserve">        Read(CEMAFilN,*)MessageTemp, (PartMixVel(i),              i = 1, NumRegnsSedimentDiagenesis)</t>
  </si>
  <si>
    <t xml:space="preserve">        Read(CEMAFilN,*)MessageTemp, (BurialVel(i),               i = 1, NumRegnsSedimentDiagenesis)</t>
  </si>
  <si>
    <t xml:space="preserve">        Read(CEMAFilN,*)MessageTemp, (POCr(i),                    i = 1, NumRegnsSedimentDiagenesis)</t>
  </si>
  <si>
    <t xml:space="preserve">        Read(CEMAFilN,*)MessageTemp, (SDRegn_CH4CompMethod(i),    i = 1, NumRegnsSedimentDiagenesis)</t>
  </si>
  <si>
    <t xml:space="preserve">        Read(CEMAFilN,*)MessageTemp, (SDRegnOx_Threshold(i),      i = 1, NumRegnsSedimentDiagenesis)</t>
  </si>
  <si>
    <t xml:space="preserve">        Read(CEMAFilN,*)MessageTemp, (SDRegnAe_NH3_NO3_L(i),      i = 1, NumRegnsSedimentDiagenesis)</t>
  </si>
  <si>
    <t xml:space="preserve">        Read(CEMAFilN,*)MessageTemp, (SDRegnAe_NH3_NO3_H(i),      i = 1, NumRegnsSedimentDiagenesis)</t>
  </si>
  <si>
    <t xml:space="preserve">        Read(CEMAFilN,*)MessageTemp, (SDRegnAe_NO3_N2_L(i),       i = 1, NumRegnsSedimentDiagenesis)</t>
  </si>
  <si>
    <t xml:space="preserve">        Read(CEMAFilN,*)MessageTemp, (SDRegnAe_NO3_N2_H(i),       i = 1, NumRegnsSedimentDiagenesis)</t>
  </si>
  <si>
    <t xml:space="preserve">        Read(CEMAFilN,*)MessageTemp, (SDRegnAn_NO3_N2(i),         i = 1, NumRegnsSedimentDiagenesis)</t>
  </si>
  <si>
    <t xml:space="preserve">        Read(CEMAFilN,*)MessageTemp, (SDRegnAe_CH4_CO2(i),        i = 1, NumRegnsSedimentDiagenesis)   !Eq. 10.35</t>
  </si>
  <si>
    <t xml:space="preserve">        Read(CEMAFilN,*)MessageTemp, (KsOxch(i),                  i = 1, NumRegnsSedimentDiagenesis)</t>
  </si>
  <si>
    <t xml:space="preserve">        Read(CEMAFilN,*)MessageTemp, (SDRegnAe_HS_NH4_Nit(i),     i = 1, NumRegnsSedimentDiagenesis)   !Eq. 3.3</t>
  </si>
  <si>
    <t xml:space="preserve">        Read(CEMAFilN,*)MessageTemp, (SDRegnAe_HS_O2_Nit(i),      i = 1, NumRegnsSedimentDiagenesis)   !Eq. 3.3</t>
  </si>
  <si>
    <t xml:space="preserve">        Read(CEMAFilN,*)MessageTemp, (SDRegn_Theta_PW(i),         i = 1, NumRegnsSedimentDiagenesis)</t>
  </si>
  <si>
    <t xml:space="preserve">        Read(CEMAFilN,*)MessageTemp, (SDRegn_Theta_PM(i),         i = 1, NumRegnsSedimentDiagenesis)</t>
  </si>
  <si>
    <t xml:space="preserve">        Read(CEMAFilN,*)MessageTemp, (SDRegn_Theta_NH3_NO3(i),    i = 1, NumRegnsSedimentDiagenesis)   </t>
  </si>
  <si>
    <t xml:space="preserve">        Read(CEMAFilN,*)MessageTemp, (SDRegn_Theta_NO3_N2(i),     i = 1, NumRegnsSedimentDiagenesis)  </t>
  </si>
  <si>
    <t xml:space="preserve">        Read(CEMAFilN,*)MessageTemp, (SDRegn_Theta_CH4_CO2(i),    i = 1, NumRegnsSedimentDiagenesis)</t>
  </si>
  <si>
    <t xml:space="preserve">        Read(CEMAFilN,*)MessageTemp, (SDRegn_Sulfate_CH4_H2S(i),  i = 1, NumRegnsSedimentDiagenesis)</t>
  </si>
  <si>
    <t xml:space="preserve">        Read(CEMAFilN,*)MessageTemp, (SDRegnAe_H2S_SO4(i),        i = 1, NumRegnsSedimentDiagenesis)</t>
  </si>
  <si>
    <t xml:space="preserve">        Read(CEMAFilN,*)MessageTemp, (SDRegn_Theta_H2S_SO4(i),    i = 1, NumRegnsSedimentDiagenesis)</t>
  </si>
  <si>
    <t xml:space="preserve">        Read(CEMAFilN,*)MessageTemp, (SDRegn_NormConst_H2S_SO4(i),i = 1, NumRegnsSedimentDiagenesis)   !Eq. 9.6</t>
  </si>
  <si>
    <t xml:space="preserve">        Read(CEMAFilN,*)MessageTemp, (SDRegn_MinRate_POC_Lab(i),  i = 1, NumRegnsSedimentDiagenesis)</t>
  </si>
  <si>
    <t xml:space="preserve">        Read(CEMAFilN,*)MessageTemp, (SDRegn_MinRate_POC_Ref(i),  i = 1, NumRegnsSedimentDiagenesis)</t>
  </si>
  <si>
    <t xml:space="preserve">        Read(CEMAFilN,*)MessageTemp, (SDRegn_MinRate_POC_Ine(i),  i = 1, NumRegnsSedimentDiagenesis)</t>
  </si>
  <si>
    <t xml:space="preserve">        Read(CEMAFilN,*)MessageTemp, (SDRegn_MinRate_PON_Lab(i),  i = 1, NumRegnsSedimentDiagenesis)</t>
  </si>
  <si>
    <t xml:space="preserve">        Read(CEMAFilN,*)MessageTemp, (SDRegn_MinRate_PON_Ref(i),  i = 1, NumRegnsSedimentDiagenesis)</t>
  </si>
  <si>
    <t xml:space="preserve">        Read(CEMAFilN,*)MessageTemp, (SDRegn_MinRate_PON_Ine(i),  i = 1, NumRegnsSedimentDiagenesis)</t>
  </si>
  <si>
    <t xml:space="preserve">        Read(CEMAFilN,*)MessageTemp, (SDRegn_MinRate_POP_Lab(i),  i = 1, NumRegnsSedimentDiagenesis)</t>
  </si>
  <si>
    <t xml:space="preserve">        Read(CEMAFilN,*)MessageTemp, (SDRegn_MinRate_POP_Ref(i),  i = 1, NumRegnsSedimentDiagenesis)</t>
  </si>
  <si>
    <t xml:space="preserve">        Read(CEMAFilN,*)MessageTemp, (SDRegn_MinRate_POP_Ine(i),  i = 1, NumRegnsSedimentDiagenesis)</t>
  </si>
  <si>
    <t xml:space="preserve">        Read(CEMAFilN,*)MessageTemp, (SDRegn_Theta_POC_Lab(i),    i = 1, NumRegnsSedimentDiagenesis)</t>
  </si>
  <si>
    <t xml:space="preserve">        Read(CEMAFilN,*)MessageTemp, (SDRegn_Theta_POC_Ref(i),    i = 1, NumRegnsSedimentDiagenesis)</t>
  </si>
  <si>
    <t xml:space="preserve">        Read(CEMAFilN,*)MessageTemp, (SDRegn_Theta_POC_Ine(i),    i = 1, NumRegnsSedimentDiagenesis)</t>
  </si>
  <si>
    <t xml:space="preserve">        Read(CEMAFilN,*)MessageTemp, (SDRegn_Theta_PON_Lab(i),    i = 1, NumRegnsSedimentDiagenesis)</t>
  </si>
  <si>
    <t xml:space="preserve">        Read(CEMAFilN,*)MessageTemp, (SDRegn_Theta_PON_Ref(i),    i = 1, NumRegnsSedimentDiagenesis)</t>
  </si>
  <si>
    <t xml:space="preserve">        Read(CEMAFilN,*)MessageTemp, (SDRegn_Theta_PON_Ine(i),    i = 1, NumRegnsSedimentDiagenesis)</t>
  </si>
  <si>
    <t xml:space="preserve">        Read(CEMAFilN,*)MessageTemp, (SDRegn_Theta_POP_Lab(i),    i = 1, NumRegnsSedimentDiagenesis)</t>
  </si>
  <si>
    <t xml:space="preserve">        Read(CEMAFilN,*)MessageTemp, (SDRegn_Theta_POP_Ref(i),    i = 1, NumRegnsSedimentDiagenesis)</t>
  </si>
  <si>
    <t xml:space="preserve">        Read(CEMAFilN,*)MessageTemp, (SDRegn_Theta_POP_Ine(i),    i = 1, NumRegnsSedimentDiagenesis)    </t>
  </si>
  <si>
    <t xml:space="preserve">        Read(CEMAFilN,*)MessageTemp, (Kdp2(i),                    i = 1, NumRegnsSedimentDiagenesis) </t>
  </si>
  <si>
    <t xml:space="preserve">        Read(CEMAFilN,*)MessageTemp, (delta_kpo41(i),             i = 1, NumRegnsSedimentDiagenesis) </t>
  </si>
  <si>
    <t xml:space="preserve">        Read(CEMAFilN,*)MessageTemp, (DOcr(i),                    i = 1, NumRegnsSedimentDiagenesis) </t>
  </si>
  <si>
    <t xml:space="preserve">        Read(CEMAFilN,*)MessageTemp, (KdNH31(i),                  i = 1, NumRegnsSedimentDiagenesis)    </t>
  </si>
  <si>
    <t xml:space="preserve">        Read(CEMAFilN,*)MessageTemp, (KdNH32(i),                  i = 1, NumRegnsSedimentDiagenesis) </t>
  </si>
  <si>
    <t xml:space="preserve">        Read(CEMAFilN,*)MessageTemp, (KdH2S1(i),                  i = 1, NumRegnsSedimentDiagenesis) </t>
  </si>
  <si>
    <t xml:space="preserve">        Read(CEMAFilN,*)MessageTemp, (KdH2S2(i),                  i = 1, NumRegnsSedimentDiagenesis) </t>
  </si>
  <si>
    <t xml:space="preserve">        Read(CEMAFilN,*)MessageTemp, (SDRegn_POMResuspMethod(i),  i = 1, NumRegnsSedimentDiagenesis)</t>
  </si>
  <si>
    <t xml:space="preserve">        Read(CEMAFilN,*)MessageTemp, (KdFe1(i),               i = 1, NumRegnsSedimentDiagenesis)</t>
  </si>
  <si>
    <t xml:space="preserve">        Read(CEMAFilN,*)MessageTemp, (KdFe2(i),               i = 1, NumRegnsSedimentDiagenesis)</t>
  </si>
  <si>
    <t xml:space="preserve">        Read(CEMAFilN,*)MessageTemp, (KdMn1(i),               i = 1, NumRegnsSedimentDiagenesis)</t>
  </si>
  <si>
    <t xml:space="preserve">        Read(CEMAFilN,*)MessageTemp, (KdMn2(i),               i = 1, NumRegnsSedimentDiagenesis)</t>
  </si>
  <si>
    <t xml:space="preserve">        Read(CEMAFilN,*)MessageTemp, WriteCEMAMFTSedFlx</t>
  </si>
  <si>
    <t xml:space="preserve">        READ(CEMAFilN,*)MessageTemp, SEDIAGFREQ   ! FREQUENCY OF OUTPUT SW 5/25/2017</t>
  </si>
  <si>
    <t>POM resuspension</t>
  </si>
  <si>
    <t>Initial conditions</t>
  </si>
  <si>
    <t>Rate constants</t>
  </si>
  <si>
    <t>"Reference POC G1 concentration for bioturbation mg-C/g Calculation of final benthic particle mixing velocity Equation 13.6 in DoToro (2001)"</t>
  </si>
  <si>
    <t>"Initial sediment pH (only used if include modeling dynamic pH)"</t>
  </si>
  <si>
    <t>"Algorithm for POM resuspension (0: Wind induced resuspension, 1: Bottom scour resuspension) Only used if Include POM resuspension is .TRUE."</t>
  </si>
  <si>
    <t>allocate(C2SF(KMX,IMX,37),KFSF(KMX,IMX,17),KFSFAV(IMX,16)</t>
  </si>
  <si>
    <t>C2SF(LayerNum,SegNumI,1)    =  SDRegnNH3_T(InitConRegn)</t>
  </si>
  <si>
    <t xml:space="preserve">                C2SF(LayerNum,SegNumI,2)    =  SDRegnNH3_T(InitConRegn)</t>
  </si>
  <si>
    <t xml:space="preserve">                C2SF(LayerNum,SegNumI,3)    =  SDRegnNO3_T(InitConRegn)</t>
  </si>
  <si>
    <t xml:space="preserve">                C2SF(LayerNum,SegNumI,4)    =  SDRegnNO3_T(InitConRegn)</t>
  </si>
  <si>
    <t xml:space="preserve">                C2SF(LayerNum,SegNumI,5)    =  SDRegnPO4_T(InitConRegn)</t>
  </si>
  <si>
    <t xml:space="preserve">                C2SF(LayerNum,SegNumI,6)    =  SDRegnPO4_T(InitConRegn)</t>
  </si>
  <si>
    <t xml:space="preserve">                C2SF(LayerNum,SegNumI,7)    =  SDRegnCH4_T(InitConRegn)</t>
  </si>
  <si>
    <t xml:space="preserve">                C2SF(LayerNum,SegNumI,8)    =  SDRegnCH4_T(InitConRegn)</t>
  </si>
  <si>
    <t xml:space="preserve">                C2SF(LayerNum,SegNumI,9)    =  SDRegnSul_T(InitConRegn)</t>
  </si>
  <si>
    <t xml:space="preserve">                C2SF(LayerNum,SegNumI,10)   =  SDRegnSul_T(InitConRegn)</t>
  </si>
  <si>
    <t xml:space="preserve">                C2SF(LayerNum,SegNumI,11)   =  SDRegnH2S_T(InitConRegn)</t>
  </si>
  <si>
    <t xml:space="preserve">                C2SF(LayerNum,SegNumI,12)   =  SDRegnH2S_T(InitConRegn)</t>
  </si>
  <si>
    <t xml:space="preserve">                C2SF(LayerNum,SegNumI,13)   =  SDRegnTIC_T(InitConRegn)</t>
  </si>
  <si>
    <t xml:space="preserve">                C2SF(LayerNum,SegNumI,14)   =  SDRegnTIC_T(InitConRegn)</t>
  </si>
  <si>
    <t xml:space="preserve">                C2SF(LayerNum,SegNumI,15)   =  SDRegnT_T(InitConRegn)</t>
  </si>
  <si>
    <t xml:space="preserve">                C2SF(LayerNum,SegNumI,16)   =  SDRegnT_T(InitConRegn)</t>
  </si>
  <si>
    <t xml:space="preserve">                  C2SF(LayerNum,SegNumI,17)  =   SDRegnpH(InitConRegn)</t>
  </si>
  <si>
    <t xml:space="preserve">                  C2SF(LayerNum,SegNumI,18)  =   SDRegnpH(InitConRegn)</t>
  </si>
  <si>
    <t xml:space="preserve">                C2SF(LayerNum,SegNumI,19)   =  SD_POC_L_Fr*SDRegnPOC_T(InitConRegn)</t>
  </si>
  <si>
    <t xml:space="preserve">                C2SF(LayerNum,SegNumI,20)   =  SD_POC_R_Fr*SDRegnPOC_T(InitConRegn) </t>
  </si>
  <si>
    <t xml:space="preserve">                C2SF(LayerNum,SegNumI,21)   =  SD_POC_I_Fr*SDRegnPOC_T(InitConRegn)</t>
  </si>
  <si>
    <t xml:space="preserve">                C2SF(LayerNum,SegNumI,22)   =  SD_PON_L_Fr*SDRegnPON_T(InitConRegn)</t>
  </si>
  <si>
    <t xml:space="preserve">                C2SF(LayerNum,SegNumI,23)   =  SD_PON_R_Fr*SDRegnPON_T(InitConRegn) </t>
  </si>
  <si>
    <t xml:space="preserve">                C2SF(LayerNum,SegNumI,24)   =  SD_PON_I_Fr*SDRegnPON_T(InitConRegn)</t>
  </si>
  <si>
    <t xml:space="preserve">                C2SF(LayerNum,SegNumI,25)   =  SD_POP_L_Fr*SDRegnPOP_T(InitConRegn)</t>
  </si>
  <si>
    <t xml:space="preserve">                C2SF(LayerNum,SegNumI,26)   =  SD_POP_R_Fr*SDRegnPOP_T(InitConRegn) </t>
  </si>
  <si>
    <t xml:space="preserve">                C2SF(LayerNum,SegNumI,27)   =  SD_POP_I_Fr*SDRegnPOP_T(InitConRegn)</t>
  </si>
  <si>
    <t xml:space="preserve">                  C2SF(LayerNum,SegNumI,28)   =  SDRegnALK_T(InitConRegn)</t>
  </si>
  <si>
    <t xml:space="preserve">                  C2SF(LayerNum,SegNumI,29)   =  SDRegnALK_T(InitConRegn)</t>
  </si>
  <si>
    <t xml:space="preserve">                  C2SF(LayerNum,SegNumI,30)   =  SDRegnFe2_T(InitConRegn)</t>
  </si>
  <si>
    <t xml:space="preserve">                  C2SF(LayerNum,SegNumI,31)   =  SDRegnFe2_T(InitConRegn)</t>
  </si>
  <si>
    <t xml:space="preserve">                  C2SF(LayerNum,SegNumI,32)   =  SDRegnFeOOH_T(InitConRegn)</t>
  </si>
  <si>
    <t xml:space="preserve">                  C2SF(LayerNum,SegNumI,33)   =  SDRegnFeOOH_T(InitConRegn)</t>
  </si>
  <si>
    <t xml:space="preserve">                  C2SF(LayerNum,SegNumI,34)   =  SDRegnMn2_T(InitConRegn)</t>
  </si>
  <si>
    <t xml:space="preserve">                  C2SF(LayerNum,SegNumI,35)   =  SDRegnMn2_T(InitConRegn)</t>
  </si>
  <si>
    <t xml:space="preserve">                  C2SF(LayerNum,SegNumI,36)   =  SDRegnMnO2_T(InitConRegn)</t>
  </si>
  <si>
    <t xml:space="preserve">                  C2SF(LayerNum,SegNumI,37)   =  SDRegnMnO2_T(InitConRegn)</t>
  </si>
  <si>
    <t>POCInert</t>
  </si>
  <si>
    <t>POCRefractory</t>
  </si>
  <si>
    <t>POCLabile</t>
  </si>
  <si>
    <t>PONLabile</t>
  </si>
  <si>
    <t>PONRefractory</t>
  </si>
  <si>
    <t>PONInert</t>
  </si>
  <si>
    <t>POPLabile</t>
  </si>
  <si>
    <t>POPRefractory</t>
  </si>
  <si>
    <t>POPInert</t>
  </si>
  <si>
    <t xml:space="preserve">          SD_NH31  =&gt; C2SF(LayerNum,SegNumI,1);  SD_NH32  =&gt; C2SF(LayerNum,SegNumI,2) </t>
  </si>
  <si>
    <t xml:space="preserve">          SD_NO31  =&gt; C2SF(LayerNum,SegNumI,3);  SD_NO32  =&gt; C2SF(LayerNum,SegNumI,4)</t>
  </si>
  <si>
    <t xml:space="preserve">          SD_PO4T1 =&gt; C2SF(LayerNum,SegNumI,5);  SD_PO4T2 =&gt; C2SF(LayerNum,SegNumI,6)</t>
  </si>
  <si>
    <t xml:space="preserve">          SD_CH41  =&gt; C2SF(LayerNum,SegNumI,7);  SD_CH42  =&gt; C2SF(LayerNum,SegNumI,8)</t>
  </si>
  <si>
    <t xml:space="preserve">          SD_SO41  =&gt; C2SF(LayerNum,SegNumI,9);  SD_SO42  =&gt; C2SF(LayerNum,SegNumI,10)</t>
  </si>
  <si>
    <t xml:space="preserve">          SD_HST1  =&gt; C2SF(LayerNum,SegNumI,11); SD_HST2  =&gt; C2SF(LayerNum,SegNumI,12)</t>
  </si>
  <si>
    <t xml:space="preserve">          SD_TIC1  =&gt; C2SF(LayerNum,SegNumI,13); SD_TIC2  =&gt; C2SF(LayerNum,SegNumI,14)</t>
  </si>
  <si>
    <t xml:space="preserve">          SD_T1    =&gt; C2SF(LayerNum,SegNumI,15); SD_T2    =&gt; C2SF(LayerNum,SegNumI,16)</t>
  </si>
  <si>
    <t xml:space="preserve">          SD_pH1   =&gt; C2SF(LayerNum,SegNumI,17); SD_pH2   =&gt; C2SF(LayerNum,SegNumI,18)</t>
  </si>
  <si>
    <t xml:space="preserve">          SD_POC22 =&gt; C2SF(LayerNum,SegNumI,19:21)</t>
  </si>
  <si>
    <t xml:space="preserve">          SD_PON22 =&gt; C2SF(LayerNum,SegNumI,22:24)</t>
  </si>
  <si>
    <t xml:space="preserve">          SD_POP22 =&gt; C2SF(LayerNum,SegNumI,25:27)</t>
  </si>
  <si>
    <t>NH31</t>
  </si>
  <si>
    <t>NH32</t>
  </si>
  <si>
    <t>NO31</t>
  </si>
  <si>
    <t>NO32</t>
  </si>
  <si>
    <t>PO41</t>
  </si>
  <si>
    <t>PO42</t>
  </si>
  <si>
    <t>CH41</t>
  </si>
  <si>
    <t>CH42</t>
  </si>
  <si>
    <t>SO41</t>
  </si>
  <si>
    <t>SO42</t>
  </si>
  <si>
    <t>H2S1</t>
  </si>
  <si>
    <t>H2S2</t>
  </si>
  <si>
    <t>TIC1</t>
  </si>
  <si>
    <t>TIC2</t>
  </si>
  <si>
    <t>T1</t>
  </si>
  <si>
    <t>T2</t>
  </si>
  <si>
    <t>pH1</t>
  </si>
  <si>
    <t>pH2</t>
  </si>
  <si>
    <t>Alk1</t>
  </si>
  <si>
    <t>Alk2</t>
  </si>
  <si>
    <t>Fe21</t>
  </si>
  <si>
    <t>Fe22</t>
  </si>
  <si>
    <t>FeOOH1</t>
  </si>
  <si>
    <t>FeOOH2</t>
  </si>
  <si>
    <t>Mn21</t>
  </si>
  <si>
    <t>Mn22</t>
  </si>
  <si>
    <t>MnO21</t>
  </si>
  <si>
    <t>MnO22</t>
  </si>
  <si>
    <t>Layer1=aerobis layer</t>
  </si>
  <si>
    <t>layer2=anaerobic layer</t>
  </si>
  <si>
    <t xml:space="preserve">            SD_ALK1  =&gt; C2SF(LayerNum,SegNumI,28)</t>
  </si>
  <si>
    <t xml:space="preserve">            SD_ALK2  =&gt; C2SF(LayerNum,SegNumI,29)</t>
  </si>
  <si>
    <t xml:space="preserve">          !</t>
  </si>
  <si>
    <t xml:space="preserve">            SD_Fe2T1  =&gt; C2SF(LayerNum,SegNumI,30)</t>
  </si>
  <si>
    <t xml:space="preserve">            SD_Fe2T2  =&gt; C2SF(LayerNum,SegNumI,31)</t>
  </si>
  <si>
    <t xml:space="preserve">            SD_FeOOH1 =&gt; C2SF(LayerNum,SegNumI,32)</t>
  </si>
  <si>
    <t xml:space="preserve">            SD_FeOOH2 =&gt; C2SF(LayerNum,SegNumI,33)</t>
  </si>
  <si>
    <t xml:space="preserve">            SD_Mn2T1 =&gt; C2SF(LayerNum,SegNumI,34)</t>
  </si>
  <si>
    <t xml:space="preserve">            SD_Mn2T2 =&gt; C2SF(LayerNum,SegNumI,35)</t>
  </si>
  <si>
    <t xml:space="preserve">            SD_MnO21 =&gt; C2SF(LayerNum,SegNumI,36)</t>
  </si>
  <si>
    <t xml:space="preserve">            SD_MnO22 =&gt; C2SF(LayerNum,SegNumI,37)</t>
  </si>
  <si>
    <t xml:space="preserve">          KFSF(LayerNum,SegNumI,1)  = SD_JPOC(1) + SD_JPOC(2) + SD_JPOC(3)</t>
  </si>
  <si>
    <t xml:space="preserve">          KFSF(LayerNum,SegNumI,2)  = SD_JPON(1) + SD_JPON(2) + SD_JPON(3)</t>
  </si>
  <si>
    <t xml:space="preserve">          KFSF(LayerNum,SegNumI,3)  = SD_JPOP(1) + SD_JPOP(2) + SD_JPOP(3)</t>
  </si>
  <si>
    <t xml:space="preserve">          KFSF(LayerNum,SegNumI,4)  = SD_SOD</t>
  </si>
  <si>
    <t xml:space="preserve">          KFSF(LayerNum,SegNumI,5)  = SD_CSOD</t>
  </si>
  <si>
    <t xml:space="preserve">          KFSF(LayerNum,SegNumI,6)  = SD_NSOD</t>
  </si>
  <si>
    <t xml:space="preserve">          KFSF(LayerNum,SegNumI,7)  = SD_JC</t>
  </si>
  <si>
    <t xml:space="preserve">          KFSF(LayerNum,SegNumI,8)  = SD_JN</t>
  </si>
  <si>
    <t xml:space="preserve">          KFSF(LayerNum,SegNumI,9)  = SD_JP</t>
  </si>
  <si>
    <t xml:space="preserve">          KFSF(LayerNum,SegNumI,10) = SD_JCH4</t>
  </si>
  <si>
    <t xml:space="preserve">          KFSF(LayerNum,SegNumI,11) = SD_JHS</t>
  </si>
  <si>
    <t xml:space="preserve">          KFSF(LayerNum,SegNumI,12) = SD_JSO4</t>
  </si>
  <si>
    <t xml:space="preserve">          KFSF(LayerNum,SegNumI,13) = SD_JTIC</t>
  </si>
  <si>
    <t xml:space="preserve">          KFSF(LayerNum,SegNumI,14) = SD_JNH4</t>
  </si>
  <si>
    <t xml:space="preserve">          KFSF(LayerNum,SegNumI,15) = SD_JNO3</t>
  </si>
  <si>
    <t xml:space="preserve">          KFSF(LayerNum,SegNumI,16) = SD_JPO4</t>
  </si>
  <si>
    <t xml:space="preserve">          KFSF(LayerNum,SegNumI,17) = SD_JT</t>
  </si>
  <si>
    <t xml:space="preserve">          sum_ave(1) = sum_ave(1)   + SD_SOD      * DELTABI</t>
  </si>
  <si>
    <t xml:space="preserve">          sum_ave(2) = sum_ave(2)   + SD_POC22(1) * DELTABI</t>
  </si>
  <si>
    <t xml:space="preserve">          sum_ave(3) = sum_ave(3)   + SD_POC22(2) * DELTABI</t>
  </si>
  <si>
    <t xml:space="preserve">          sum_ave(4) = sum_ave(4)   + SD_JC       * DELTABI</t>
  </si>
  <si>
    <t xml:space="preserve">          sum_ave(5) = sum_ave(5)   + SD_JN       * DELTABI</t>
  </si>
  <si>
    <t xml:space="preserve">          sum_ave(6) = sum_ave(6)   + SD_PON22(1) * DELTABI</t>
  </si>
  <si>
    <t xml:space="preserve">          sum_ave(7) = sum_ave(7)   + SD_PON22(2) * DELTABI</t>
  </si>
  <si>
    <t xml:space="preserve">          sum_ave(8) = sum_ave(8)   + SD_JCH4     * DELTABI</t>
  </si>
  <si>
    <t xml:space="preserve">          sum_ave(9) = sum_ave(9)   + SD_JNH4     * DELTABI</t>
  </si>
  <si>
    <t xml:space="preserve">          sum_ave(10) = sum_ave(10) + SD_JNO3     * DELTABI</t>
  </si>
  <si>
    <t xml:space="preserve">          sum_ave(11) = sum_ave(11) + SD_JPO4     * DELTABI</t>
  </si>
  <si>
    <t xml:space="preserve">          sum_ave(12) = sum_ave(12) + SD_POP22(1) * DELTABI</t>
  </si>
  <si>
    <t xml:space="preserve">          sum_ave(13) = sum_ave(13) + SD_POP22(2) * DELTABI</t>
  </si>
  <si>
    <t xml:space="preserve">          sum_ave(14) = sum_ave(14) + SD_CSOD     * DELTABI</t>
  </si>
  <si>
    <t xml:space="preserve">          sum_ave(15) = sum_ave(15) + SD_NSOD     * DELTABI</t>
  </si>
  <si>
    <t xml:space="preserve">          sum_ave(16) = sum_ave(16) + SD_JP       * DELTABI</t>
  </si>
  <si>
    <t xml:space="preserve">        END DO !LayerNum</t>
  </si>
  <si>
    <t xml:space="preserve">        </t>
  </si>
  <si>
    <t xml:space="preserve">        KFSFAV(SegNumI,:) = sum_ave(:)</t>
  </si>
  <si>
    <t>Flux variables</t>
  </si>
  <si>
    <t>DELTABI is fraction of layer thickness weighted average based on thickness</t>
  </si>
  <si>
    <t xml:space="preserve">            Write(CEMASedFlxFilN4,'("SOD(gO2/m2/d),",f12.4,",",&lt;IMX&gt;(f10.4,","),&lt;IMX&gt;(f10.4,","))')JDAY,(KFSF(KB(SegNumI),SegNumI,4),  SegNumI = 1, IMX),(KFSFAV(SegNumI,1), SegNumI = 1, IMX)</t>
  </si>
  <si>
    <t xml:space="preserve">            Write(CEMASedFlxFilN5,'("POCG1(g/m3),",f12.4,",",&lt;IMX&gt;(f10.4,","),&lt;IMX&gt;(f10.4,","))')  JDAY,(C2SF(KB(SegNumI),SegNumI,19), SegNumI = 1, IMX),(KFSFAV(SegNumI,2), SegNumI = 1, IMX)</t>
  </si>
  <si>
    <t xml:space="preserve">            Write(CEMASedFlxFilN6,'("POCG2(g/m3),",f12.4,",",&lt;IMX&gt;(f10.4,","),&lt;IMX&gt;(f10.4,","))')  JDAY,(C2SF(KB(SegNumI),SegNumI,20), SegNumI = 1, IMX),(KFSFAV(SegNumI,3), SegNumI = 1, IMX)</t>
  </si>
  <si>
    <t xml:space="preserve">            Write(CEMASedFlxFilN7,'("JC,",f12.4,",",&lt;IMX&gt;(f10.4,","),&lt;IMX&gt;(f10.4,","))')           JDAY,(KFSF(KB(SegNumI),SegNumI,7),  SegNumI = 1, IMX),(KFSFAV(SegNumI,4), SegNumI = 1, IMX)</t>
  </si>
  <si>
    <t xml:space="preserve">            Write(CEMASedFlxFilN8,'("JN,",f12.4,",",&lt;IMX&gt;(f10.4,","),&lt;IMX&gt;(f10.4,","))')           JDAY,(KFSF(KB(SegNumI),SegNumI,8),  SegNumI = 1, IMX),(KFSFAV(SegNumI,5), SegNumI = 1, IMX)</t>
  </si>
  <si>
    <t xml:space="preserve">            Write(CEMASedFlxFilN9,'("PONG1(g/m3),",f12.4,",",&lt;IMX&gt;(f10.4,","),&lt;IMX&gt;(f10.4,","))')  JDAY,(C2SF(KB(SegNumI),SegNumI,22), SegNumI = 1, IMX),(KFSFAV(SegNumI,6), SegNumI = 1, IMX)</t>
  </si>
  <si>
    <t xml:space="preserve">            Write(CEMASedFlxFilN10,'("PONG2(g/m3),",f12.4,",",&lt;IMX&gt;(f10.4,","),&lt;IMX&gt;(f10.4,","))') JDAY,(C2SF(KB(SegNumI),SegNumI,23), SegNumI = 1, IMX),(KFSFAV(SegNumI,7), SegNumI = 1, IMX)</t>
  </si>
  <si>
    <t xml:space="preserve">            </t>
  </si>
  <si>
    <t xml:space="preserve">            Write(CEMASedFlxFilN11,'("JCH4,",f12.4,",",&lt;IMX&gt;(f10.4,","),&lt;IMX&gt;(f10.4,","))')JDAY,(KFSF(KB(SegNumI),SegNumI,10), SegNumI = 1, IMX),(KFSFAV(SegNumI,8),  SegNumI = 1, IMX)</t>
  </si>
  <si>
    <t xml:space="preserve">            Write(CEMASedFlxFilN12,'("JNH4,",f12.4,",",&lt;IMX&gt;(f10.4,","),&lt;IMX&gt;(f10.4,","))')JDAY,(KFSF(KB(SegNumI),SegNumI,14), SegNumI = 1, IMX),(KFSFAV(SegNumI,9),  SegNumI = 1, IMX)</t>
  </si>
  <si>
    <t xml:space="preserve">            Write(CEMASedFlxFilN13,'("JNO3,",f12.4,",",&lt;IMX&gt;(f10.4,","),&lt;IMX&gt;(f10.4,","))')JDAY,(KFSF(KB(SegNumI),SegNumI,15), SegNumI = 1, IMX),(KFSFAV(SegNumI,10), SegNumI = 1, IMX)</t>
  </si>
  <si>
    <t xml:space="preserve">            Write(CEMASedFlxFilN14,'("JPO4,",f12.4,",",&lt;IMX&gt;(f10.4,","),&lt;IMX&gt;(f10.4,","))')JDAY,(KFSF(KB(SegNumI),SegNumI,16), SegNumI = 1, IMX),(KFSFAV(SegNumI,11), SegNumI = 1, IMX)</t>
  </si>
  <si>
    <t xml:space="preserve">            Write(CEMASedFlxFilN15,'("POPG1(g/m3),",f12.4,",",&lt;IMX&gt;(f10.4,","),&lt;IMX&gt;(f10.4,","))')JDAY,(C2SF(KB(SegNumI),SegNumI,25), SegNumI = 1, IMX),(KFSFAV(SegNumI,12), SegNumI = 1, IMX)</t>
  </si>
  <si>
    <t xml:space="preserve">            Write(CEMASedFlxFilN16,'("POPG2(g/m3),",f12.4,",",&lt;IMX&gt;(f10.4,","),&lt;IMX&gt;(f10.4,","))')JDAY,(C2SF(KB(SegNumI),SegNumI,26), SegNumI = 1, IMX),(KFSFAV(SegNumI,13), SegNumI = 1, IMX)</t>
  </si>
  <si>
    <t xml:space="preserve">            Write(CEMASedFlxFilN17,'("CSOD(gO2/m2/d),",f12.4,",",&lt;IMX&gt;(f10.4,","),&lt;IMX&gt;(f10.4,","))')JDAY,(KFSF(KB(SegNumI),SegNumI,5), SegNumI = 1, IMX),(KFSFAV(SegNumI,14), SegNumI = 1, IMX)</t>
  </si>
  <si>
    <t xml:space="preserve">            Write(CEMASedFlxFilN18,'("NSOD(gO2/m2/d),",f12.4,",",&lt;IMX&gt;(f10.4,","),&lt;IMX&gt;(f10.4,","))')JDAY,(KFSF(KB(SegNumI),SegNumI,6), SegNumI = 1, IMX),(KFSFAV(SegNumI,15), SegNumI = 1, IMX)</t>
  </si>
  <si>
    <t xml:space="preserve">            Write(CEMASedFlxFilN19,'("JP,",f12.4,",",&lt;IMX&gt;(f10.4,","),&lt;IMX&gt;(f10.4,","))')            JDAY,(KFSF(KB(SegNumI),SegNumI,9), SegNumI = 1, IMX),(KFSFAV(SegNumI,16), SegNumI = 1, IMX)</t>
  </si>
  <si>
    <t xml:space="preserve">            Write(CEMASedFlxFilN20,'("H1(m),",f12.4,",",&lt;IMX&gt;(f10.4,","))')JDAY,(SD_AerLayerThick(SegNumI), SegNumI = 1, IMX)</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</si>
  <si>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</si>
  <si>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</si>
  <si>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</si>
  <si>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</si>
  <si>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</si>
  <si>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</si>
  <si>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</si>
  <si>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</si>
  <si>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</si>
  <si>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</si>
  <si>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</si>
  <si>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</si>
  <si>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</si>
  <si>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</si>
  <si>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</si>
  <si>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</si>
  <si>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</si>
  <si>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</si>
  <si>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</si>
  <si>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</si>
  <si>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</si>
  <si>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</si>
  <si>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</si>
  <si>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</si>
  <si>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</si>
  <si>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</si>
  <si>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</si>
  <si>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</si>
  <si>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</si>
  <si>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</si>
  <si>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</si>
  <si>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</si>
  <si>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</si>
  <si>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</si>
  <si>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</si>
  <si>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</si>
  <si>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</si>
  <si>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</si>
  <si>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</si>
  <si>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</si>
  <si>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</si>
  <si>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</si>
  <si>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</si>
  <si>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</si>
  <si>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</si>
  <si>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</si>
  <si>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</si>
  <si>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</si>
  <si>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</si>
  <si>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</si>
  <si>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</si>
  <si>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</si>
  <si>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</si>
  <si>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</si>
  <si>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</si>
  <si>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</si>
  <si>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</si>
  <si>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</si>
  <si>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</si>
  <si>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</si>
  <si>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</si>
  <si>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</si>
  <si>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</si>
  <si>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</si>
  <si>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</si>
  <si>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</si>
  <si>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</si>
  <si>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</si>
  <si>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</si>
  <si>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</si>
  <si>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</si>
  <si>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</si>
  <si>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</si>
  <si>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</si>
  <si>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</si>
  <si>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</si>
  <si>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</si>
  <si>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</si>
  <si>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</si>
  <si>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</si>
  <si>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</si>
  <si>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</si>
  <si>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</si>
  <si>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</si>
  <si>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</si>
  <si>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</si>
  <si>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</si>
  <si>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</si>
  <si>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</si>
  <si>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</si>
  <si>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</si>
  <si>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</si>
  <si>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</si>
  <si>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</si>
  <si>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</si>
  <si>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"Clindrospermopsin, g/m^3"</t>
  </si>
  <si>
    <t>"Anatoxin-A, g/m^3"</t>
  </si>
  <si>
    <t>"Saxitoxin, g/m^3"</t>
  </si>
  <si>
    <t>"Microcystin, g/m^3"</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</si>
  <si>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</si>
  <si>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</si>
  <si>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</si>
  <si>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</si>
  <si>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</si>
  <si>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</si>
  <si>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</si>
  <si>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</si>
  <si>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</si>
  <si>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</si>
  <si>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</si>
  <si>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</si>
  <si>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SED_DIAG</t>
  </si>
  <si>
    <t>Algae Vertical Migration, ON/OFF, AVERTM</t>
  </si>
  <si>
    <t>Toxins are related to algae groups in toxin input file</t>
  </si>
  <si>
    <t>Requires DGP being active, or N2 and O2</t>
  </si>
  <si>
    <t>ORGCC simulates the organic matter as C rather than organic matter; SED_DIAG: turns ON/OFF sediment diagenesis</t>
  </si>
  <si>
    <t xml:space="preserve">DETAIL  </t>
  </si>
  <si>
    <t xml:space="preserve">MANN    </t>
  </si>
  <si>
    <t xml:space="preserve">DISTR   </t>
  </si>
  <si>
    <t xml:space="preserve">lspkq00.csv                                                             </t>
  </si>
  <si>
    <t xml:space="preserve">lspkt00.csv                                                             </t>
  </si>
  <si>
    <t xml:space="preserve">lspkc00.csv                                                             </t>
  </si>
  <si>
    <t xml:space="preserve">(I10)    </t>
  </si>
  <si>
    <t xml:space="preserve">(f10.3)  </t>
  </si>
  <si>
    <t xml:space="preserve">rsi.npt                                                                 </t>
  </si>
  <si>
    <t>CAC-active</t>
  </si>
  <si>
    <t>FMTC-Fortran output</t>
  </si>
  <si>
    <t>CMULT-output multiplier</t>
  </si>
  <si>
    <t>C2I(JW)-initial conc</t>
  </si>
  <si>
    <t>CPRWBC(JW)-print</t>
  </si>
  <si>
    <t>C_ATM_DEPOSITION(JW)</t>
  </si>
  <si>
    <t>CINBRC(JB)-inflow c</t>
  </si>
  <si>
    <t>CTRTRC(JT)-trib c</t>
  </si>
  <si>
    <t>CDTBRC(JB)-distributed c</t>
  </si>
  <si>
    <t>CPRBRC(JB)-precip c</t>
  </si>
  <si>
    <t xml:space="preserve">(F10.3)  </t>
  </si>
  <si>
    <t xml:space="preserve">DGP     </t>
  </si>
  <si>
    <t xml:space="preserve">N2      </t>
  </si>
  <si>
    <t xml:space="preserve">H2S     </t>
  </si>
  <si>
    <t xml:space="preserve">CH4     </t>
  </si>
  <si>
    <t xml:space="preserve">SO4     </t>
  </si>
  <si>
    <t xml:space="preserve">FEII    </t>
  </si>
  <si>
    <t xml:space="preserve">FEOOH   </t>
  </si>
  <si>
    <t xml:space="preserve">MnII    </t>
  </si>
  <si>
    <t xml:space="preserve">MnO2    </t>
  </si>
  <si>
    <t xml:space="preserve">BOD1    </t>
  </si>
  <si>
    <t xml:space="preserve">BOD2    </t>
  </si>
  <si>
    <t xml:space="preserve">BOD3    </t>
  </si>
  <si>
    <t xml:space="preserve">BOD4    </t>
  </si>
  <si>
    <t xml:space="preserve">BOD5    </t>
  </si>
  <si>
    <t xml:space="preserve">BOD6    </t>
  </si>
  <si>
    <t xml:space="preserve">BOD7    </t>
  </si>
  <si>
    <t xml:space="preserve">BOD8    </t>
  </si>
  <si>
    <t xml:space="preserve">BOD9    </t>
  </si>
  <si>
    <t xml:space="preserve">BOD10   </t>
  </si>
  <si>
    <t xml:space="preserve">BODP1   </t>
  </si>
  <si>
    <t xml:space="preserve">BODP2   </t>
  </si>
  <si>
    <t xml:space="preserve">BODP3   </t>
  </si>
  <si>
    <t xml:space="preserve">BODP4   </t>
  </si>
  <si>
    <t xml:space="preserve">BODP5   </t>
  </si>
  <si>
    <t xml:space="preserve">BODP6   </t>
  </si>
  <si>
    <t xml:space="preserve">BODP7   </t>
  </si>
  <si>
    <t xml:space="preserve">BODP8   </t>
  </si>
  <si>
    <t xml:space="preserve">BODP9   </t>
  </si>
  <si>
    <t xml:space="preserve">BODP10  </t>
  </si>
  <si>
    <t xml:space="preserve">BODN1   </t>
  </si>
  <si>
    <t xml:space="preserve">BODN2   </t>
  </si>
  <si>
    <t xml:space="preserve">BODN3   </t>
  </si>
  <si>
    <t xml:space="preserve">BODN4   </t>
  </si>
  <si>
    <t xml:space="preserve">BODN5   </t>
  </si>
  <si>
    <t xml:space="preserve">BODN6   </t>
  </si>
  <si>
    <t xml:space="preserve">BODN7   </t>
  </si>
  <si>
    <t xml:space="preserve">BODN8   </t>
  </si>
  <si>
    <t xml:space="preserve">BODN9   </t>
  </si>
  <si>
    <t xml:space="preserve">BODN10  </t>
  </si>
  <si>
    <t xml:space="preserve">ALG2    </t>
  </si>
  <si>
    <t xml:space="preserve">ALG3    </t>
  </si>
  <si>
    <t xml:space="preserve">LDOM-P  </t>
  </si>
  <si>
    <t xml:space="preserve">(g10.3)  </t>
  </si>
  <si>
    <t xml:space="preserve">RDOM-P  </t>
  </si>
  <si>
    <t xml:space="preserve">LPOM-P  </t>
  </si>
  <si>
    <t xml:space="preserve">RPOM-P  </t>
  </si>
  <si>
    <t xml:space="preserve">LDOM-N  </t>
  </si>
  <si>
    <t xml:space="preserve">RDOM-N  </t>
  </si>
  <si>
    <t xml:space="preserve">LPOM-N  </t>
  </si>
  <si>
    <t xml:space="preserve">RPOM-N  </t>
  </si>
  <si>
    <t xml:space="preserve">NH3     </t>
  </si>
  <si>
    <t xml:space="preserve">TDG     </t>
  </si>
  <si>
    <t>Turbidit</t>
  </si>
  <si>
    <t xml:space="preserve">Secchi  </t>
  </si>
  <si>
    <t xml:space="preserve">NH3GAS  </t>
  </si>
  <si>
    <t>CG10</t>
  </si>
  <si>
    <t>CG11</t>
  </si>
  <si>
    <t>CG12</t>
  </si>
  <si>
    <t xml:space="preserve">qwd.npt                                                                 </t>
  </si>
  <si>
    <t xml:space="preserve">qgt.npt                                                                 </t>
  </si>
  <si>
    <t xml:space="preserve">wsc.csv                                                                 </t>
  </si>
  <si>
    <t xml:space="preserve">shade.csv                                                               </t>
  </si>
  <si>
    <t xml:space="preserve">W2_output.w2l                                                           </t>
  </si>
  <si>
    <t xml:space="preserve">bth6.csv                                                                </t>
  </si>
  <si>
    <t xml:space="preserve">met00jr6.csv                                                            </t>
  </si>
  <si>
    <t xml:space="preserve">ext_1.npt                                                               </t>
  </si>
  <si>
    <t>ATM_DEP.CSV</t>
  </si>
  <si>
    <t xml:space="preserve">vpr00wb6.npt                                                            </t>
  </si>
  <si>
    <t xml:space="preserve">lpr_wb6.npt                                                             </t>
  </si>
  <si>
    <t xml:space="preserve">snp1.opt                                                                </t>
  </si>
  <si>
    <t xml:space="preserve">prf1.opt                                                                </t>
  </si>
  <si>
    <t xml:space="preserve">cpl1.opt                                                                </t>
  </si>
  <si>
    <t xml:space="preserve">spr1.opt                                                                </t>
  </si>
  <si>
    <t xml:space="preserve">kfl1.opt                                                                </t>
  </si>
  <si>
    <t xml:space="preserve">Qin_br1.csv                                                             </t>
  </si>
  <si>
    <t xml:space="preserve">Tin_br1.csv                                                             </t>
  </si>
  <si>
    <t xml:space="preserve">Cin_br1.csv                                                             </t>
  </si>
  <si>
    <t xml:space="preserve">qll_00.csv                                                              </t>
  </si>
  <si>
    <t xml:space="preserve">qwb1.csv                                                                </t>
  </si>
  <si>
    <t xml:space="preserve">DisTribT.csv                                                            </t>
  </si>
  <si>
    <t xml:space="preserve">DisTribC.csv                                                            </t>
  </si>
  <si>
    <t xml:space="preserve">pre_br1.npt                                                             </t>
  </si>
  <si>
    <t xml:space="preserve">tpr_br1.npt                                                             </t>
  </si>
  <si>
    <t xml:space="preserve">cpr_br1.npt                                                             </t>
  </si>
  <si>
    <t xml:space="preserve">euh_br1.npt                                                             </t>
  </si>
  <si>
    <t xml:space="preserve">tuh_br1.npt                                                             </t>
  </si>
  <si>
    <t xml:space="preserve">cuh_br1.npt                                                             </t>
  </si>
  <si>
    <t xml:space="preserve">edh_br1.npt                                                             </t>
  </si>
  <si>
    <t xml:space="preserve">tdh_br1.npt                                                             </t>
  </si>
  <si>
    <t xml:space="preserve">cdh_br1.npt                                                             </t>
  </si>
  <si>
    <t>"Long Lake or Spokane Lake WA"</t>
  </si>
  <si>
    <t>"S. Wells"</t>
  </si>
  <si>
    <t>"Comment4"</t>
  </si>
  <si>
    <t>"Comment5"</t>
  </si>
  <si>
    <t>"Comment6"</t>
  </si>
  <si>
    <t>"Comment7"</t>
  </si>
  <si>
    <t>"Comment8"</t>
  </si>
  <si>
    <t>"TimestepViolations[NVIOL]                  "</t>
  </si>
  <si>
    <t>"HorizontalVelocity[U]ms-1                  "</t>
  </si>
  <si>
    <t>"VerticalVelocity[W]ms-1                    "</t>
  </si>
  <si>
    <t>"Temperature[T]C                            "</t>
  </si>
  <si>
    <t>"Density[RHO]kgm-3                          "</t>
  </si>
  <si>
    <t>"VerticalEddyViscosity[AZ]m2s-1             "</t>
  </si>
  <si>
    <t>"VelocityShearStress[SHEAR]s-2              "</t>
  </si>
  <si>
    <t>"InternalShear[ST]m3s-2                     "</t>
  </si>
  <si>
    <t>"BottomShear[SB]m3s-2                       "</t>
  </si>
  <si>
    <t>"LongitudinalMomentum[ADMX]m3s-2            "</t>
  </si>
  <si>
    <t>"LongitudinalMomentum[DM]m3s-2              "</t>
  </si>
  <si>
    <t>"HorizontalDensityGradient[HDG]m3s-2        "</t>
  </si>
  <si>
    <t>"VerticalMomentum[ADMZ]m3s-2                "</t>
  </si>
  <si>
    <t>"HorizontalPressureGradient[HPG]m3s-2       "</t>
  </si>
  <si>
    <t>"Gravity Term Channel Slope[GRAV] m3s-2     "</t>
  </si>
  <si>
    <t>"Total organic nitrogen, g/m^3              "</t>
  </si>
  <si>
    <t>"Total Kheldahl Nitrogen, g/m^3             "</t>
  </si>
  <si>
    <t>"Total nitrogen, g/m^3                      "</t>
  </si>
  <si>
    <t>"Unionized ammonia, g/m3 as N               "</t>
  </si>
  <si>
    <t>"Dissolved organic phosphorus, g/m^3        "</t>
  </si>
  <si>
    <t>"Particulate organic phosphorus, g/m^3      "</t>
  </si>
  <si>
    <t>"Total organic phosphorus, g/m^3            "</t>
  </si>
  <si>
    <t>"Total phosphorus, g/m^3                    "</t>
  </si>
  <si>
    <t>"Total dissolved gas, %                     "</t>
  </si>
  <si>
    <t>"Turbidity, NTU                             "</t>
  </si>
  <si>
    <t>"Secchi disk depth, m                       "</t>
  </si>
  <si>
    <t>"TDS,  g/m^3                                "</t>
  </si>
  <si>
    <t>"Age,  days                                 "</t>
  </si>
  <si>
    <t>"Tracer,  g/m^3                             "</t>
  </si>
  <si>
    <t>"Bacteria,  col/100ml                       "</t>
  </si>
  <si>
    <t>"Conductivity,  mhos                        "</t>
  </si>
  <si>
    <t>"Chloride,  mg/l                            "</t>
  </si>
  <si>
    <t>"ISS,  g/m^3                                "</t>
  </si>
  <si>
    <t>"Dissolved Gas Pressure,atm                 "</t>
  </si>
  <si>
    <t>"N2 dissolved gas, mg/l                     "</t>
  </si>
  <si>
    <t>"H2S, dissolved gas, mg/l                   "</t>
  </si>
  <si>
    <t>"CH4 dissolved gas, mg/l                    "</t>
  </si>
  <si>
    <t>"SO4 dissolved, mg/l                        "</t>
  </si>
  <si>
    <t>"Reduced FE(II), mg/l                       "</t>
  </si>
  <si>
    <t>"Oxidized FeOOH, mg/l                       "</t>
  </si>
  <si>
    <t>"Reduced Mn(II), mg/l                       "</t>
  </si>
  <si>
    <t>"Oxidized MnO2, mg/l                        "</t>
  </si>
  <si>
    <t>"Phosphate,  g/m^3                          "</t>
  </si>
  <si>
    <t>"Ammonium,  g/m^3                           "</t>
  </si>
  <si>
    <t>"Nitrate-Nitrite,  g/m^3                    "</t>
  </si>
  <si>
    <t>"Dissolved silica,  g/m^3                   "</t>
  </si>
  <si>
    <t>"Particulate silica,  g/m^3                 "</t>
  </si>
  <si>
    <t>"Labile DOM,  g/m^3                         "</t>
  </si>
  <si>
    <t>"Refractory DOM,  g/m^3                     "</t>
  </si>
  <si>
    <t>"Labile POM,  g/m^3                         "</t>
  </si>
  <si>
    <t>"Refractory POM,  g/m^3                     "</t>
  </si>
  <si>
    <t>"1CBOD,  g/m^3                              "</t>
  </si>
  <si>
    <t>"2CBOD,  g/m^3                              "</t>
  </si>
  <si>
    <t>"3CBOD,  g/m^3                              "</t>
  </si>
  <si>
    <t>"4CBOD,  g/m^3                              "</t>
  </si>
  <si>
    <t>"5CBOD,  g/m^3                              "</t>
  </si>
  <si>
    <t>"6CBOD,  g/m^3                              "</t>
  </si>
  <si>
    <t>"7CBOD,  g/m^3                              "</t>
  </si>
  <si>
    <t>"8CBOD,  g/m^3                              "</t>
  </si>
  <si>
    <t>"9CBOD,  g/m^3                              "</t>
  </si>
  <si>
    <t>"10CBOD,  g/m^3                             "</t>
  </si>
  <si>
    <t>"1CBODP,  g/m^3                             "</t>
  </si>
  <si>
    <t>"2CBODP,  g/m^3                             "</t>
  </si>
  <si>
    <t>"3CBODP,  g/m^3                             "</t>
  </si>
  <si>
    <t>"4CBODP,  g/m^3                             "</t>
  </si>
  <si>
    <t>"5CBODP,  g/m^3                             "</t>
  </si>
  <si>
    <t>"6CBODP,  g/m^3                             "</t>
  </si>
  <si>
    <t>"7CBODP,  g/m^3                             "</t>
  </si>
  <si>
    <t>"8CBODP,  g/m^3                             "</t>
  </si>
  <si>
    <t>"9CBODP,  g/m^3                             "</t>
  </si>
  <si>
    <t>"10CBODP,  g/m^3                            "</t>
  </si>
  <si>
    <t>"1CBODN,  g/m^3                             "</t>
  </si>
  <si>
    <t>"2CBODN,  g/m^3                             "</t>
  </si>
  <si>
    <t>"3CBODN,  g/m^3                             "</t>
  </si>
  <si>
    <t>"4CBODN,  g/m^3                             "</t>
  </si>
  <si>
    <t>"5CBODN,  g/m^3                             "</t>
  </si>
  <si>
    <t>"6CBODN,  g/m^3                             "</t>
  </si>
  <si>
    <t>"7CBODN,  g/m^3                             "</t>
  </si>
  <si>
    <t>"8CBODN,  g/m^3                             "</t>
  </si>
  <si>
    <t>"9CBODN,  g/m^3                             "</t>
  </si>
  <si>
    <t>"10CBODN,  g/m^3                            "</t>
  </si>
  <si>
    <t>"Algae1 Diatoms,  g/m^3                     "</t>
  </si>
  <si>
    <t>"Algae2 Green,  g/m^3                       "</t>
  </si>
  <si>
    <t>"Algae3 Cyanobacteria, g/m^3                "</t>
  </si>
  <si>
    <t>"Dissolved oxygen,  g/m^3                   "</t>
  </si>
  <si>
    <t>"Inorganic carbon,  g/m^3                   "</t>
  </si>
  <si>
    <t>"Alkalinity,  g/m^3                         "</t>
  </si>
  <si>
    <t>"Zooplankton1,  g/m^3                       "</t>
  </si>
  <si>
    <t>"LDOM P,  g/m^3                             "</t>
  </si>
  <si>
    <t>"RDOM P,  g/m^3                             "</t>
  </si>
  <si>
    <t>"LPOM P,  g/m^3                             "</t>
  </si>
  <si>
    <t>"RPOM P,  g/m^3                             "</t>
  </si>
  <si>
    <t>"LDOM N,  g/m^3                             "</t>
  </si>
  <si>
    <t>"RDOM N,  g/m^3                             "</t>
  </si>
  <si>
    <t>"LPOM N,  g/m^3                             "</t>
  </si>
  <si>
    <t>"RPOM N,  g/m^3                             "</t>
  </si>
  <si>
    <t>"Cylindrospermopsin, g/m^3"</t>
  </si>
  <si>
    <t>ICEC - Turn ICE cover algorithm ON/ONWB/OFF</t>
  </si>
  <si>
    <t>DOVOL</t>
  </si>
  <si>
    <t>"Sediment Temperature Computations=1 (internal calcs or =2 neighboring water)"</t>
  </si>
  <si>
    <t>w2_con5.csv</t>
  </si>
  <si>
    <t>DZMAX</t>
  </si>
  <si>
    <t>HG</t>
  </si>
  <si>
    <t>Theta_STRT1 - Structure 1 Effective Angle of Withdrawal, radians</t>
  </si>
  <si>
    <t>Theta_STRT2 - Structure 2 Effective Angle of Withdrawal, radians</t>
  </si>
  <si>
    <t>Theta_STRT3 - Structure 3 Effective Angle of Withdrawal, radians</t>
  </si>
  <si>
    <t>Theta_STRT4 - Structure 4 Effective Angle of Withdrawal, radians</t>
  </si>
  <si>
    <t>Theta_STRT5 - Structure 5 Effective Angle of Withdrawal, radians</t>
  </si>
  <si>
    <t>Hg0</t>
  </si>
  <si>
    <t>"Hg0, ng/L"</t>
  </si>
  <si>
    <t>(f10.4)</t>
  </si>
  <si>
    <t>HgII</t>
  </si>
  <si>
    <t>"HgII, ng/L"</t>
  </si>
  <si>
    <t>MeHg</t>
  </si>
  <si>
    <t>"MeHg, ng/L"</t>
  </si>
  <si>
    <t>PHgIIw</t>
  </si>
  <si>
    <t>"Particulate HgII-w, ng/l"</t>
  </si>
  <si>
    <t>(F10.4)</t>
  </si>
  <si>
    <t>PHgIIs</t>
  </si>
  <si>
    <t>"Particulate HgII-s, ng/g"</t>
  </si>
  <si>
    <t>PMeHgw</t>
  </si>
  <si>
    <t>"Particulate MeHg-w, ng/l"</t>
  </si>
  <si>
    <t>PMeHgs</t>
  </si>
  <si>
    <t>"Particulate MeHg-s, ng/g"</t>
  </si>
  <si>
    <t>DHgII</t>
  </si>
  <si>
    <t>"Dissolved HgII, ng/l"</t>
  </si>
  <si>
    <t>DMeHg</t>
  </si>
  <si>
    <t>"Dissolved Me Hg, ng/l"</t>
  </si>
  <si>
    <t xml:space="preserve">(F10.4)  </t>
  </si>
  <si>
    <t>P</t>
  </si>
  <si>
    <t>LDOMPDK, LDOP decay rate, d-1 if ORGCC is ON.</t>
  </si>
  <si>
    <t>RDOMPDK, RDOP decay rate, d-1 if ORGCC is ON.</t>
  </si>
  <si>
    <t>LRDOMPDK, LDOP to RDOP, d-1 if ORGCC is ON.</t>
  </si>
  <si>
    <t>N</t>
  </si>
  <si>
    <t>LDOMNDK, LDON decay rate, d-1 if ORGCC is ON.</t>
  </si>
  <si>
    <t>RDOMNDK, RDON decay rate, d-1 if ORGCC is ON.</t>
  </si>
  <si>
    <t>LRDOMNDK, LDON to RDON, d-1 if ORGCC is ON.</t>
  </si>
  <si>
    <t>C</t>
  </si>
  <si>
    <t>LPOMHK, hydrolysis rate from LPOM to LDOM, d-1 if ORGCC is ON.</t>
  </si>
  <si>
    <t>RPOMHK, hydrolysis rate from RPOM to RDOM, d-1 if ORGCC is ON.</t>
  </si>
  <si>
    <t>LPOMPDK, LPOP decay rate, d-1 if ORGCC is ON.</t>
  </si>
  <si>
    <t>RPOMPDK, RPOP decay rate, d-1 if ORGCC is ON.</t>
  </si>
  <si>
    <t>LRPOMPDK, LPOP to RPOP, d-1 if ORGCC is ON.</t>
  </si>
  <si>
    <t>LPOMNDK, LPON decay rate, d-1 if ORGCC is ON.</t>
  </si>
  <si>
    <t>RPOMNDK, RPON decay rate, d-1 if ORGCC is ON.</t>
  </si>
  <si>
    <t>LRPOMNDK, LPON to RPON, d-1 if ORGCC is ON.</t>
  </si>
  <si>
    <t xml:space="preserve">AANOX (0 - 1), ratio of anoxic to oxic carbon decomposition rate </t>
  </si>
  <si>
    <t>"W2 Version 5 Testing"</t>
  </si>
  <si>
    <t>"1/2024"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</si>
</sst>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164" formatCode="[$-409]d\-mmm\-yyyy;@"/>
    <numFmt numFmtId="165" formatCode="[$-409]m/d/yy\ h:mm\ AM/PM;@"/>
    <numFmt numFmtId="166" formatCode="0.000"/>
    <numFmt numFmtId="167" formatCode="0.00000E+00"/>
    <numFmt numFmtId="168" formatCode="0.0000E+00"/>
    <numFmt numFmtId="169" formatCode="0.000000"/>
  </numFmts>
  <fonts count="18" x14ac:knownFonts="1">
    <font>
      <sz val="11"/>
      <color theme="1"/>
      <name val="Calibri"/>
      <family val="2"/>
      <scheme val="minor"/>
    </font>
    <font>
      <b/>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s>
  <fills count="19">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s>
  <cellStyleXfs count="2">
    <xf numFmtId="0" fontId="0" fillId="0" borderId="0"/>
    <xf numFmtId="0" fontId="14" fillId="0" borderId="0" applyNumberFormat="0" applyFill="0" applyBorder="0" applyAlignment="0" applyProtection="0"/>
  </cellStyleXfs>
  <cellXfs count="114">
    <xf numFmtId="0" fontId="0" fillId="0" borderId="0" xfId="0"/>
    <xf numFmtId="0" fontId="0" fillId="2" borderId="0" xfId="0" applyFill="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Border="1"/>
    <xf numFmtId="0" fontId="0" fillId="3" borderId="5" xfId="0" applyFill="1" applyBorder="1"/>
    <xf numFmtId="0" fontId="0" fillId="4" borderId="1" xfId="0" applyFill="1" applyBorder="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6" xfId="0"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4" fillId="0" borderId="0" xfId="0" applyFont="1" applyAlignment="1">
      <alignment horizontal="left" vertical="center" indent="15"/>
    </xf>
    <xf numFmtId="0" fontId="5" fillId="0" borderId="0" xfId="0" applyFont="1"/>
    <xf numFmtId="0" fontId="6" fillId="0" borderId="0" xfId="0" applyFont="1"/>
    <xf numFmtId="0" fontId="7" fillId="0" borderId="0" xfId="0" applyFont="1"/>
    <xf numFmtId="0" fontId="8" fillId="0" borderId="0" xfId="0" applyFont="1" applyAlignment="1">
      <alignment vertical="center"/>
    </xf>
    <xf numFmtId="0" fontId="7" fillId="7" borderId="0" xfId="0" applyFont="1" applyFill="1"/>
    <xf numFmtId="0" fontId="1" fillId="6" borderId="1" xfId="0" applyFont="1" applyFill="1" applyBorder="1"/>
    <xf numFmtId="0" fontId="0" fillId="6" borderId="6" xfId="0" applyFill="1" applyBorder="1"/>
    <xf numFmtId="0" fontId="7" fillId="2" borderId="0" xfId="0" applyFont="1" applyFill="1"/>
    <xf numFmtId="0" fontId="0" fillId="9" borderId="0" xfId="0" applyFill="1"/>
    <xf numFmtId="0" fontId="0" fillId="2" borderId="6" xfId="0" applyFill="1" applyBorder="1"/>
    <xf numFmtId="0" fontId="1" fillId="3" borderId="1" xfId="0" applyFont="1" applyFill="1" applyBorder="1"/>
    <xf numFmtId="0" fontId="7" fillId="10" borderId="0" xfId="0" applyFont="1" applyFill="1"/>
    <xf numFmtId="0" fontId="10" fillId="11" borderId="0" xfId="0" applyFont="1" applyFill="1"/>
    <xf numFmtId="0" fontId="0" fillId="3" borderId="6" xfId="0" applyFill="1" applyBorder="1"/>
    <xf numFmtId="0" fontId="11" fillId="2" borderId="0" xfId="0" applyFont="1" applyFill="1"/>
    <xf numFmtId="0" fontId="0" fillId="5" borderId="0" xfId="0" applyFill="1"/>
    <xf numFmtId="0" fontId="0" fillId="10" borderId="0" xfId="0" applyFill="1"/>
    <xf numFmtId="0" fontId="0" fillId="10" borderId="1" xfId="0" applyFill="1" applyBorder="1"/>
    <xf numFmtId="0" fontId="0" fillId="9" borderId="1" xfId="0" applyFill="1" applyBorder="1"/>
    <xf numFmtId="0" fontId="12"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ill="1" applyAlignment="1">
      <alignment vertical="center"/>
    </xf>
    <xf numFmtId="165" fontId="0" fillId="0" borderId="0" xfId="0" applyNumberFormat="1"/>
    <xf numFmtId="166"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Border="1" applyAlignment="1">
      <alignment vertical="center"/>
    </xf>
    <xf numFmtId="0" fontId="0" fillId="11" borderId="0" xfId="0" applyFill="1"/>
    <xf numFmtId="0" fontId="0" fillId="11" borderId="1" xfId="0" applyFill="1" applyBorder="1"/>
    <xf numFmtId="0" fontId="0" fillId="11" borderId="5" xfId="0" applyFill="1" applyBorder="1"/>
    <xf numFmtId="0" fontId="1" fillId="4" borderId="1" xfId="0" applyFont="1" applyFill="1" applyBorder="1"/>
    <xf numFmtId="0" fontId="13" fillId="0" borderId="0" xfId="0" applyFont="1"/>
    <xf numFmtId="0" fontId="0" fillId="2" borderId="5" xfId="0" applyFill="1" applyBorder="1"/>
    <xf numFmtId="0" fontId="0" fillId="2" borderId="2" xfId="0" applyFill="1" applyBorder="1"/>
    <xf numFmtId="0" fontId="0" fillId="4" borderId="5" xfId="0" applyFill="1" applyBorder="1"/>
    <xf numFmtId="0" fontId="14" fillId="0" borderId="0" xfId="1" quotePrefix="1"/>
    <xf numFmtId="11" fontId="0" fillId="2" borderId="1" xfId="0" applyNumberFormat="1" applyFill="1" applyBorder="1"/>
    <xf numFmtId="0" fontId="1" fillId="4" borderId="0" xfId="0" applyFont="1" applyFill="1"/>
    <xf numFmtId="0" fontId="6" fillId="14" borderId="0" xfId="0" applyFont="1" applyFill="1"/>
    <xf numFmtId="0" fontId="6" fillId="2" borderId="0" xfId="0" applyFont="1" applyFill="1"/>
    <xf numFmtId="0" fontId="0" fillId="16" borderId="1" xfId="0" applyFill="1" applyBorder="1"/>
    <xf numFmtId="0" fontId="14" fillId="12" borderId="1" xfId="1" quotePrefix="1" applyFill="1" applyBorder="1"/>
    <xf numFmtId="0" fontId="14" fillId="12" borderId="1" xfId="1" applyFill="1" applyBorder="1"/>
    <xf numFmtId="22" fontId="14" fillId="12" borderId="1" xfId="1" applyNumberFormat="1" applyFill="1" applyBorder="1"/>
    <xf numFmtId="0" fontId="1" fillId="0" borderId="0" xfId="0" applyFont="1" applyAlignment="1">
      <alignment vertical="center"/>
    </xf>
    <xf numFmtId="166" fontId="0" fillId="7" borderId="1" xfId="0" applyNumberFormat="1" applyFill="1" applyBorder="1"/>
    <xf numFmtId="0" fontId="6" fillId="7" borderId="0" xfId="0" applyFont="1" applyFill="1"/>
    <xf numFmtId="0" fontId="1" fillId="14" borderId="1" xfId="0" applyFont="1" applyFill="1" applyBorder="1"/>
    <xf numFmtId="0" fontId="14" fillId="2" borderId="1" xfId="1" applyFill="1" applyBorder="1"/>
    <xf numFmtId="164" fontId="14" fillId="2" borderId="1" xfId="1" applyNumberFormat="1" applyFill="1" applyBorder="1"/>
    <xf numFmtId="0" fontId="0" fillId="4" borderId="1" xfId="0" applyFill="1" applyBorder="1" applyAlignment="1">
      <alignment horizontal="right"/>
    </xf>
    <xf numFmtId="0" fontId="6" fillId="5" borderId="1" xfId="0" applyFont="1" applyFill="1" applyBorder="1"/>
    <xf numFmtId="0" fontId="11" fillId="5" borderId="1" xfId="0" applyFont="1" applyFill="1" applyBorder="1"/>
    <xf numFmtId="0" fontId="0" fillId="10" borderId="1" xfId="0" applyFill="1" applyBorder="1" applyAlignment="1">
      <alignment horizontal="right"/>
    </xf>
    <xf numFmtId="0" fontId="0" fillId="4" borderId="1" xfId="0" applyFill="1" applyBorder="1" applyAlignment="1">
      <alignment wrapText="1"/>
    </xf>
    <xf numFmtId="0" fontId="15" fillId="0" borderId="0" xfId="0" applyFont="1" applyAlignment="1">
      <alignment horizontal="center"/>
    </xf>
    <xf numFmtId="0" fontId="15" fillId="0" borderId="6" xfId="0" applyFont="1" applyBorder="1" applyAlignment="1">
      <alignment horizontal="center"/>
    </xf>
    <xf numFmtId="0" fontId="0" fillId="17" borderId="1" xfId="0" applyFill="1" applyBorder="1"/>
    <xf numFmtId="0" fontId="0" fillId="17" borderId="1" xfId="0" applyFill="1" applyBorder="1" applyAlignment="1">
      <alignment horizontal="right"/>
    </xf>
    <xf numFmtId="0" fontId="0" fillId="4" borderId="6" xfId="0" applyFill="1" applyBorder="1"/>
    <xf numFmtId="0" fontId="0" fillId="5" borderId="6" xfId="0" applyFill="1" applyBorder="1"/>
    <xf numFmtId="0" fontId="11" fillId="5" borderId="6" xfId="0" applyFont="1" applyFill="1" applyBorder="1"/>
    <xf numFmtId="0" fontId="11" fillId="5" borderId="0" xfId="0" applyFont="1" applyFill="1"/>
    <xf numFmtId="0" fontId="0" fillId="17" borderId="6" xfId="0" applyFill="1" applyBorder="1"/>
    <xf numFmtId="0" fontId="0" fillId="10" borderId="6" xfId="0" applyFill="1" applyBorder="1"/>
    <xf numFmtId="2" fontId="0" fillId="0" borderId="0" xfId="0" applyNumberFormat="1"/>
    <xf numFmtId="167" fontId="0" fillId="0" borderId="0" xfId="0" applyNumberFormat="1"/>
    <xf numFmtId="168" fontId="0" fillId="0" borderId="0" xfId="0" applyNumberFormat="1"/>
    <xf numFmtId="169" fontId="0" fillId="0" borderId="0" xfId="0" applyNumberFormat="1"/>
    <xf numFmtId="0" fontId="0" fillId="12" borderId="0" xfId="0" applyFill="1"/>
    <xf numFmtId="16" fontId="0" fillId="2" borderId="1" xfId="0" applyNumberFormat="1" applyFill="1" applyBorder="1"/>
    <xf numFmtId="0" fontId="14" fillId="17" borderId="1" xfId="1" applyFill="1" applyBorder="1"/>
    <xf numFmtId="0" fontId="0" fillId="18" borderId="6" xfId="0" applyFill="1" applyBorder="1"/>
    <xf numFmtId="0" fontId="1" fillId="8" borderId="0" xfId="0" applyFont="1" applyFill="1"/>
    <xf numFmtId="0" fontId="3" fillId="6" borderId="1" xfId="0" applyFont="1" applyFill="1" applyBorder="1" applyAlignment="1" applyProtection="1">
      <alignment horizontal="center"/>
      <protection hidden="1"/>
    </xf>
    <xf numFmtId="0" fontId="14" fillId="0" borderId="0" xfId="1" applyFill="1"/>
    <xf numFmtId="0" fontId="16" fillId="0" borderId="0" xfId="0" applyFont="1"/>
    <xf numFmtId="0" fontId="11" fillId="3" borderId="1" xfId="0" applyFont="1" applyFill="1" applyBorder="1"/>
    <xf numFmtId="0" fontId="11" fillId="4" borderId="1" xfId="0" applyFont="1" applyFill="1" applyBorder="1"/>
    <xf numFmtId="0" fontId="11" fillId="2" borderId="4" xfId="0" applyFont="1" applyFill="1" applyBorder="1"/>
    <xf numFmtId="0" fontId="11" fillId="2" borderId="1" xfId="0" applyFont="1" applyFill="1" applyBorder="1"/>
    <xf numFmtId="0" fontId="11" fillId="2" borderId="1" xfId="0" applyFont="1" applyFill="1" applyBorder="1" applyAlignment="1">
      <alignment horizontal="center"/>
    </xf>
    <xf numFmtId="0" fontId="11" fillId="4" borderId="1" xfId="0" applyFont="1" applyFill="1" applyBorder="1" applyAlignment="1">
      <alignment vertical="center"/>
    </xf>
  </cellXfs>
  <cellStyles count="2">
    <cellStyle name="Hy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2423160</xdr:colOff>
          <xdr:row>6</xdr:row>
          <xdr:rowOff>179070</xdr:rowOff>
        </xdr:from>
        <xdr:to>
          <xdr:col>1</xdr:col>
          <xdr:colOff>4088130</xdr:colOff>
          <xdr:row>11</xdr:row>
          <xdr:rowOff>15240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422910</xdr:colOff>
          <xdr:row>0</xdr:row>
          <xdr:rowOff>175260</xdr:rowOff>
        </xdr:from>
        <xdr:to>
          <xdr:col>12</xdr:col>
          <xdr:colOff>175260</xdr:colOff>
          <xdr:row>5</xdr:row>
          <xdr:rowOff>7620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480060</xdr:colOff>
          <xdr:row>1</xdr:row>
          <xdr:rowOff>3810</xdr:rowOff>
        </xdr:from>
        <xdr:to>
          <xdr:col>11</xdr:col>
          <xdr:colOff>220980</xdr:colOff>
          <xdr:row>5</xdr:row>
          <xdr:rowOff>22860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300-000001C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678180</xdr:colOff>
          <xdr:row>7</xdr:row>
          <xdr:rowOff>0</xdr:rowOff>
        </xdr:from>
        <xdr:to>
          <xdr:col>5</xdr:col>
          <xdr:colOff>636270</xdr:colOff>
          <xdr:row>11</xdr:row>
          <xdr:rowOff>22860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567690</xdr:colOff>
          <xdr:row>7</xdr:row>
          <xdr:rowOff>137160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500-0000013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53340</xdr:colOff>
          <xdr:row>1</xdr:row>
          <xdr:rowOff>64770</xdr:rowOff>
        </xdr:from>
        <xdr:to>
          <xdr:col>22</xdr:col>
          <xdr:colOff>441960</xdr:colOff>
          <xdr:row>5</xdr:row>
          <xdr:rowOff>83820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600-0000013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53340</xdr:colOff>
          <xdr:row>0</xdr:row>
          <xdr:rowOff>64770</xdr:rowOff>
        </xdr:from>
        <xdr:to>
          <xdr:col>6</xdr:col>
          <xdr:colOff>441960</xdr:colOff>
          <xdr:row>4</xdr:row>
          <xdr:rowOff>83820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700-0000014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53340</xdr:colOff>
          <xdr:row>1</xdr:row>
          <xdr:rowOff>64770</xdr:rowOff>
        </xdr:from>
        <xdr:to>
          <xdr:col>13</xdr:col>
          <xdr:colOff>441960</xdr:colOff>
          <xdr:row>5</xdr:row>
          <xdr:rowOff>83820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800-0000014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224790</xdr:colOff>
          <xdr:row>1</xdr:row>
          <xdr:rowOff>64770</xdr:rowOff>
        </xdr:from>
        <xdr:to>
          <xdr:col>6</xdr:col>
          <xdr:colOff>613410</xdr:colOff>
          <xdr:row>5</xdr:row>
          <xdr:rowOff>83820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900-0000015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68580</xdr:rowOff>
        </xdr:from>
        <xdr:to>
          <xdr:col>9</xdr:col>
          <xdr:colOff>541020</xdr:colOff>
          <xdr:row>5</xdr:row>
          <xdr:rowOff>87630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A00-0000016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72390</xdr:colOff>
          <xdr:row>1</xdr:row>
          <xdr:rowOff>64770</xdr:rowOff>
        </xdr:from>
        <xdr:to>
          <xdr:col>13</xdr:col>
          <xdr:colOff>461010</xdr:colOff>
          <xdr:row>5</xdr:row>
          <xdr:rowOff>83820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B00-0000025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243840</xdr:colOff>
          <xdr:row>34</xdr:row>
          <xdr:rowOff>64770</xdr:rowOff>
        </xdr:from>
        <xdr:to>
          <xdr:col>3</xdr:col>
          <xdr:colOff>156210</xdr:colOff>
          <xdr:row>38</xdr:row>
          <xdr:rowOff>83820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C00-000001F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297180</xdr:colOff>
          <xdr:row>0</xdr:row>
          <xdr:rowOff>91440</xdr:rowOff>
        </xdr:from>
        <xdr:to>
          <xdr:col>7</xdr:col>
          <xdr:colOff>45720</xdr:colOff>
          <xdr:row>4</xdr:row>
          <xdr:rowOff>110490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D00-0000017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45720</xdr:rowOff>
        </xdr:from>
        <xdr:to>
          <xdr:col>25</xdr:col>
          <xdr:colOff>365760</xdr:colOff>
          <xdr:row>7</xdr:row>
          <xdr:rowOff>64770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E00-0000017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201930</xdr:colOff>
          <xdr:row>25</xdr:row>
          <xdr:rowOff>41910</xdr:rowOff>
        </xdr:from>
        <xdr:to>
          <xdr:col>3</xdr:col>
          <xdr:colOff>594360</xdr:colOff>
          <xdr:row>29</xdr:row>
          <xdr:rowOff>60960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F00-0000018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0F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175260</xdr:rowOff>
        </xdr:from>
        <xdr:to>
          <xdr:col>9</xdr:col>
          <xdr:colOff>419100</xdr:colOff>
          <xdr:row>12</xdr:row>
          <xdr:rowOff>7620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100-0000011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3.bin"/><Relationship Id="rId4" Type="http://schemas.openxmlformats.org/officeDocument/2006/relationships/ctrlProp" Target="../ctrlProps/ctrlProp11.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4.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79"/>
  <sheetViews>
    <sheetView workbookViewId="0">
      <selection activeCell="B16" sqref="B16"/>
    </sheetView>
  </sheetViews>
  <sheetFormatPr defaultRowHeight="14.4" x14ac:dyDescent="0.55000000000000004"/>
  <cols>
    <col min="2" max="2" width="26.47265625" bestFit="1" customWidth="1"/>
    <col min="4" max="4" width="17.89453125" customWidth="1"/>
    <col min="10" max="10" width="10.15625" bestFit="1" customWidth="1"/>
    <col min="13" max="13" width="11.578125" bestFit="1" customWidth="1"/>
    <col min="14" max="14" width="11.05078125" bestFit="1" customWidth="1"/>
  </cols>
  <sheetData>
    <row r="2" spans="2:14" x14ac:dyDescent="0.55000000000000004">
      <c r="B2" t="s">
        <v>1600</v>
      </c>
      <c r="D2" s="62" t="s">
        <v>2235</v>
      </c>
      <c r="E2" s="62"/>
    </row>
    <row r="3" spans="2:14" x14ac:dyDescent="0.55000000000000004">
      <c r="B3" s="80" t="s">
        <v>1601</v>
      </c>
      <c r="D3" t="s">
        <v>2236</v>
      </c>
    </row>
    <row r="4" spans="2:14" x14ac:dyDescent="0.55000000000000004">
      <c r="B4" s="72" t="s">
        <v>1602</v>
      </c>
    </row>
    <row r="5" spans="2:14" x14ac:dyDescent="0.55000000000000004">
      <c r="B5" s="73" t="s">
        <v>1603</v>
      </c>
      <c r="D5" t="s">
        <v>2237</v>
      </c>
    </row>
    <row r="6" spans="2:14" x14ac:dyDescent="0.55000000000000004">
      <c r="B6" s="74" t="s">
        <v>1604</v>
      </c>
      <c r="D6" t="s">
        <v>2237</v>
      </c>
    </row>
    <row r="7" spans="2:14" x14ac:dyDescent="0.55000000000000004">
      <c r="B7" s="73" t="s">
        <v>1605</v>
      </c>
      <c r="D7" t="s">
        <v>2237</v>
      </c>
      <c r="M7" s="99"/>
    </row>
    <row r="8" spans="2:14" x14ac:dyDescent="0.55000000000000004">
      <c r="B8" s="73" t="s">
        <v>1606</v>
      </c>
      <c r="D8" t="s">
        <v>2237</v>
      </c>
    </row>
    <row r="9" spans="2:14" x14ac:dyDescent="0.55000000000000004">
      <c r="B9" s="73" t="s">
        <v>1607</v>
      </c>
      <c r="D9" t="s">
        <v>2240</v>
      </c>
    </row>
    <row r="10" spans="2:14" x14ac:dyDescent="0.55000000000000004">
      <c r="B10" s="73" t="s">
        <v>1608</v>
      </c>
      <c r="D10" t="s">
        <v>2240</v>
      </c>
    </row>
    <row r="11" spans="2:14" x14ac:dyDescent="0.55000000000000004">
      <c r="B11" s="73" t="s">
        <v>1609</v>
      </c>
      <c r="D11" t="s">
        <v>2240</v>
      </c>
    </row>
    <row r="12" spans="2:14" x14ac:dyDescent="0.55000000000000004">
      <c r="B12" s="73" t="s">
        <v>1610</v>
      </c>
      <c r="D12" t="s">
        <v>2240</v>
      </c>
      <c r="M12" s="97"/>
      <c r="N12" s="97"/>
    </row>
    <row r="13" spans="2:14" x14ac:dyDescent="0.55000000000000004">
      <c r="B13" s="73" t="s">
        <v>1611</v>
      </c>
      <c r="D13" t="s">
        <v>2240</v>
      </c>
      <c r="M13" s="96"/>
    </row>
    <row r="14" spans="2:14" x14ac:dyDescent="0.55000000000000004">
      <c r="B14" s="102" t="s">
        <v>2193</v>
      </c>
      <c r="D14" t="s">
        <v>2240</v>
      </c>
      <c r="M14" s="96"/>
    </row>
    <row r="15" spans="2:14" x14ac:dyDescent="0.55000000000000004">
      <c r="B15" s="106" t="s">
        <v>2233</v>
      </c>
      <c r="D15" t="s">
        <v>2240</v>
      </c>
    </row>
    <row r="16" spans="2:14" x14ac:dyDescent="0.55000000000000004">
      <c r="B16" s="106" t="s">
        <v>2232</v>
      </c>
      <c r="D16" t="s">
        <v>2237</v>
      </c>
      <c r="N16" s="97"/>
    </row>
    <row r="17" spans="1:14" x14ac:dyDescent="0.55000000000000004">
      <c r="B17" s="106" t="s">
        <v>2231</v>
      </c>
      <c r="D17" t="s">
        <v>2238</v>
      </c>
    </row>
    <row r="18" spans="1:14" x14ac:dyDescent="0.55000000000000004">
      <c r="B18" s="79" t="s">
        <v>1689</v>
      </c>
      <c r="D18" t="s">
        <v>2237</v>
      </c>
    </row>
    <row r="20" spans="1:14" x14ac:dyDescent="0.55000000000000004">
      <c r="B20" s="73" t="s">
        <v>1612</v>
      </c>
      <c r="D20" t="s">
        <v>2239</v>
      </c>
      <c r="N20" s="98"/>
    </row>
    <row r="21" spans="1:14" x14ac:dyDescent="0.55000000000000004">
      <c r="M21" s="66"/>
      <c r="N21" s="98"/>
    </row>
    <row r="25" spans="1:14" x14ac:dyDescent="0.55000000000000004">
      <c r="A25" t="s">
        <v>1316</v>
      </c>
      <c r="M25" s="66"/>
    </row>
    <row r="26" spans="1:14" x14ac:dyDescent="0.55000000000000004">
      <c r="A26" t="s">
        <v>931</v>
      </c>
    </row>
    <row r="27" spans="1:14" x14ac:dyDescent="0.55000000000000004">
      <c r="A27" t="s">
        <v>932</v>
      </c>
    </row>
    <row r="29" spans="1:14" x14ac:dyDescent="0.55000000000000004">
      <c r="A29" t="s">
        <v>900</v>
      </c>
    </row>
    <row r="30" spans="1:14" x14ac:dyDescent="0.55000000000000004">
      <c r="A30" t="s">
        <v>901</v>
      </c>
    </row>
    <row r="31" spans="1:14" x14ac:dyDescent="0.55000000000000004">
      <c r="A31" t="s">
        <v>928</v>
      </c>
    </row>
    <row r="32" spans="1:14" x14ac:dyDescent="0.55000000000000004">
      <c r="A32" t="s">
        <v>1642</v>
      </c>
    </row>
    <row r="33" spans="1:20" x14ac:dyDescent="0.55000000000000004">
      <c r="A33" t="s">
        <v>902</v>
      </c>
      <c r="N33" s="16"/>
      <c r="O33" s="4" t="s">
        <v>605</v>
      </c>
      <c r="P33" s="4"/>
      <c r="Q33" s="4"/>
      <c r="R33" s="4"/>
    </row>
    <row r="34" spans="1:20" x14ac:dyDescent="0.55000000000000004">
      <c r="A34" t="s">
        <v>903</v>
      </c>
      <c r="N34" s="9" t="s">
        <v>518</v>
      </c>
      <c r="O34" s="4" t="s">
        <v>515</v>
      </c>
      <c r="P34" s="3" t="s">
        <v>516</v>
      </c>
      <c r="Q34" s="4" t="s">
        <v>254</v>
      </c>
      <c r="R34" s="4" t="s">
        <v>253</v>
      </c>
    </row>
    <row r="35" spans="1:20" x14ac:dyDescent="0.55000000000000004">
      <c r="A35" t="s">
        <v>904</v>
      </c>
      <c r="N35" s="10">
        <v>1</v>
      </c>
      <c r="O35" s="5" t="s">
        <v>47</v>
      </c>
      <c r="P35" s="5" t="s">
        <v>733</v>
      </c>
      <c r="Q35" s="5" t="s">
        <v>11</v>
      </c>
      <c r="R35" s="5" t="s">
        <v>123</v>
      </c>
    </row>
    <row r="36" spans="1:20" x14ac:dyDescent="0.55000000000000004">
      <c r="A36" t="s">
        <v>905</v>
      </c>
      <c r="N36" s="9">
        <v>2</v>
      </c>
      <c r="O36" s="5" t="s">
        <v>48</v>
      </c>
      <c r="P36" s="5" t="s">
        <v>734</v>
      </c>
      <c r="Q36" s="5" t="s">
        <v>2</v>
      </c>
      <c r="R36" s="5" t="s">
        <v>123</v>
      </c>
    </row>
    <row r="37" spans="1:20" x14ac:dyDescent="0.55000000000000004">
      <c r="A37" t="s">
        <v>906</v>
      </c>
      <c r="N37" s="10">
        <v>3</v>
      </c>
      <c r="O37" s="5" t="s">
        <v>49</v>
      </c>
      <c r="P37" s="5" t="s">
        <v>735</v>
      </c>
      <c r="Q37" s="5" t="s">
        <v>11</v>
      </c>
      <c r="R37" s="5" t="s">
        <v>123</v>
      </c>
    </row>
    <row r="38" spans="1:20" x14ac:dyDescent="0.55000000000000004">
      <c r="A38" t="s">
        <v>907</v>
      </c>
      <c r="N38" s="9">
        <v>4</v>
      </c>
      <c r="O38" s="5" t="s">
        <v>50</v>
      </c>
      <c r="P38" s="5" t="s">
        <v>736</v>
      </c>
      <c r="Q38" s="5" t="s">
        <v>11</v>
      </c>
      <c r="R38" s="5" t="s">
        <v>123</v>
      </c>
    </row>
    <row r="39" spans="1:20" x14ac:dyDescent="0.55000000000000004">
      <c r="A39" t="s">
        <v>929</v>
      </c>
      <c r="N39" s="10">
        <v>5</v>
      </c>
      <c r="O39" s="5" t="s">
        <v>51</v>
      </c>
      <c r="P39" s="5" t="s">
        <v>737</v>
      </c>
      <c r="Q39" s="5" t="s">
        <v>11</v>
      </c>
      <c r="R39" s="5" t="s">
        <v>123</v>
      </c>
    </row>
    <row r="40" spans="1:20" x14ac:dyDescent="0.55000000000000004">
      <c r="A40" t="s">
        <v>930</v>
      </c>
      <c r="N40" s="9">
        <v>6</v>
      </c>
      <c r="O40" s="5" t="s">
        <v>52</v>
      </c>
      <c r="P40" s="5" t="s">
        <v>738</v>
      </c>
      <c r="Q40" s="5" t="s">
        <v>11</v>
      </c>
      <c r="R40" s="5" t="s">
        <v>123</v>
      </c>
    </row>
    <row r="41" spans="1:20" x14ac:dyDescent="0.55000000000000004">
      <c r="A41" t="s">
        <v>909</v>
      </c>
      <c r="N41" s="10">
        <v>7</v>
      </c>
      <c r="O41" s="5" t="s">
        <v>53</v>
      </c>
      <c r="P41" s="5" t="s">
        <v>739</v>
      </c>
      <c r="Q41" s="5" t="s">
        <v>2</v>
      </c>
      <c r="R41" s="5" t="s">
        <v>123</v>
      </c>
    </row>
    <row r="42" spans="1:20" x14ac:dyDescent="0.55000000000000004">
      <c r="A42" t="s">
        <v>1643</v>
      </c>
    </row>
    <row r="43" spans="1:20" x14ac:dyDescent="0.55000000000000004">
      <c r="A43" s="23" t="s">
        <v>2241</v>
      </c>
    </row>
    <row r="44" spans="1:20" x14ac:dyDescent="0.55000000000000004">
      <c r="N44" t="s">
        <v>1644</v>
      </c>
    </row>
    <row r="45" spans="1:20" x14ac:dyDescent="0.55000000000000004">
      <c r="A45" t="s">
        <v>908</v>
      </c>
    </row>
    <row r="46" spans="1:20" x14ac:dyDescent="0.55000000000000004">
      <c r="A46" t="s">
        <v>1645</v>
      </c>
      <c r="N46" t="s">
        <v>1646</v>
      </c>
    </row>
    <row r="47" spans="1:20" x14ac:dyDescent="0.55000000000000004">
      <c r="M47">
        <v>1</v>
      </c>
      <c r="N47" s="61" t="s">
        <v>393</v>
      </c>
      <c r="O47" s="20" t="s">
        <v>126</v>
      </c>
    </row>
    <row r="48" spans="1:20" x14ac:dyDescent="0.55000000000000004">
      <c r="N48" s="9" t="s">
        <v>237</v>
      </c>
      <c r="O48" s="1" t="s">
        <v>1013</v>
      </c>
      <c r="T48" t="str">
        <f>CHAR(34)&amp;O48&amp;CHAR(34)</f>
        <v>"Timestep violations [NVIOL]                "</v>
      </c>
    </row>
    <row r="49" spans="13:20" x14ac:dyDescent="0.55000000000000004">
      <c r="N49" s="9" t="s">
        <v>28</v>
      </c>
      <c r="O49" s="1" t="s">
        <v>1647</v>
      </c>
      <c r="T49" t="str">
        <f t="shared" ref="T49:T54" si="0">CHAR(34)&amp;O49&amp;CHAR(34)</f>
        <v>"Horizontal velocity [U], m/s               "</v>
      </c>
    </row>
    <row r="50" spans="13:20" x14ac:dyDescent="0.55000000000000004">
      <c r="N50" s="9" t="s">
        <v>29</v>
      </c>
      <c r="O50" s="1" t="s">
        <v>1648</v>
      </c>
      <c r="T50" t="str">
        <f t="shared" si="0"/>
        <v>"Vertical velocity [W], m/s                 "</v>
      </c>
    </row>
    <row r="51" spans="13:20" x14ac:dyDescent="0.55000000000000004">
      <c r="N51" s="9" t="s">
        <v>30</v>
      </c>
      <c r="O51" s="1" t="s">
        <v>1649</v>
      </c>
      <c r="T51" t="str">
        <f t="shared" si="0"/>
        <v>"Temperature [T1], &lt;o/&gt;C                    "</v>
      </c>
    </row>
    <row r="52" spans="13:20" x14ac:dyDescent="0.55000000000000004">
      <c r="N52" s="9" t="s">
        <v>31</v>
      </c>
      <c r="O52" s="1" t="s">
        <v>1650</v>
      </c>
      <c r="T52" t="str">
        <f t="shared" si="0"/>
        <v>"Density [RHO], kg/m^3                      "</v>
      </c>
    </row>
    <row r="53" spans="13:20" x14ac:dyDescent="0.55000000000000004">
      <c r="N53" s="9" t="s">
        <v>32</v>
      </c>
      <c r="O53" s="1" t="s">
        <v>1651</v>
      </c>
      <c r="T53" t="str">
        <f t="shared" si="0"/>
        <v>"Vertical eddy viscosity [AZ], m^2/s        "</v>
      </c>
    </row>
    <row r="54" spans="13:20" x14ac:dyDescent="0.55000000000000004">
      <c r="N54" s="9" t="s">
        <v>33</v>
      </c>
      <c r="O54" s="1" t="s">
        <v>1652</v>
      </c>
      <c r="T54" t="str">
        <f t="shared" si="0"/>
        <v>"Velocity shear stress [SHEAR], 1/s^2       "</v>
      </c>
    </row>
    <row r="55" spans="13:20" x14ac:dyDescent="0.55000000000000004">
      <c r="M55">
        <v>2</v>
      </c>
      <c r="N55" s="61" t="s">
        <v>518</v>
      </c>
      <c r="O55" s="4" t="s">
        <v>1653</v>
      </c>
      <c r="P55" s="3" t="s">
        <v>1654</v>
      </c>
    </row>
    <row r="56" spans="13:20" x14ac:dyDescent="0.55000000000000004">
      <c r="N56" s="10">
        <v>1</v>
      </c>
      <c r="O56" s="5" t="s">
        <v>1019</v>
      </c>
      <c r="P56" s="5" t="s">
        <v>1655</v>
      </c>
      <c r="T56" t="str">
        <f>CHAR(34)&amp;P56&amp;CHAR(34)</f>
        <v>"TDS, g/m^3                                 "</v>
      </c>
    </row>
    <row r="57" spans="13:20" x14ac:dyDescent="0.55000000000000004">
      <c r="N57" s="9">
        <v>2</v>
      </c>
      <c r="O57" s="5" t="s">
        <v>1020</v>
      </c>
      <c r="P57" s="5" t="s">
        <v>1656</v>
      </c>
      <c r="T57" t="str">
        <f t="shared" ref="T57:T62" si="1">CHAR(34)&amp;P57&amp;CHAR(34)</f>
        <v>"Age, days                                  "</v>
      </c>
    </row>
    <row r="58" spans="13:20" x14ac:dyDescent="0.55000000000000004">
      <c r="N58" s="10">
        <v>3</v>
      </c>
      <c r="O58" s="5" t="s">
        <v>1021</v>
      </c>
      <c r="P58" s="5" t="s">
        <v>1657</v>
      </c>
      <c r="T58" t="str">
        <f t="shared" si="1"/>
        <v>"H2S-d, g/m^3                               "</v>
      </c>
    </row>
    <row r="59" spans="13:20" x14ac:dyDescent="0.55000000000000004">
      <c r="N59" s="9">
        <v>4</v>
      </c>
      <c r="O59" s="5" t="s">
        <v>1022</v>
      </c>
      <c r="P59" s="5" t="s">
        <v>1658</v>
      </c>
      <c r="T59" t="str">
        <f t="shared" si="1"/>
        <v>"CH4-d, g/m^3                               "</v>
      </c>
    </row>
    <row r="60" spans="13:20" x14ac:dyDescent="0.55000000000000004">
      <c r="N60" s="10">
        <v>5</v>
      </c>
      <c r="O60" s="5" t="s">
        <v>1659</v>
      </c>
      <c r="P60" s="5" t="s">
        <v>1660</v>
      </c>
      <c r="T60" t="str">
        <f t="shared" si="1"/>
        <v>"SO4, g/m^3                                 "</v>
      </c>
    </row>
    <row r="61" spans="13:20" x14ac:dyDescent="0.55000000000000004">
      <c r="N61" s="9">
        <v>6</v>
      </c>
      <c r="O61" s="11" t="s">
        <v>1661</v>
      </c>
      <c r="P61" s="63" t="s">
        <v>1662</v>
      </c>
      <c r="T61" t="str">
        <f t="shared" si="1"/>
        <v>"Tracer, g/m^3                              "</v>
      </c>
    </row>
    <row r="62" spans="13:20" x14ac:dyDescent="0.55000000000000004">
      <c r="N62" s="10">
        <v>7</v>
      </c>
      <c r="O62" s="11" t="s">
        <v>1663</v>
      </c>
      <c r="P62" s="63" t="s">
        <v>1664</v>
      </c>
      <c r="T62" t="str">
        <f t="shared" si="1"/>
        <v>"Turbidity/1000, NTU                        "</v>
      </c>
    </row>
    <row r="63" spans="13:20" x14ac:dyDescent="0.55000000000000004">
      <c r="M63">
        <v>3</v>
      </c>
      <c r="N63" s="61" t="s">
        <v>1596</v>
      </c>
      <c r="O63" s="4" t="s">
        <v>520</v>
      </c>
      <c r="P63" s="4" t="s">
        <v>135</v>
      </c>
    </row>
    <row r="64" spans="13:20" x14ac:dyDescent="0.55000000000000004">
      <c r="N64" s="9"/>
      <c r="O64" s="5" t="s">
        <v>1047</v>
      </c>
      <c r="P64" s="5" t="s">
        <v>1048</v>
      </c>
      <c r="T64" t="str">
        <f>CHAR(34)&amp;P64&amp;CHAR(34)</f>
        <v>"Dissolved organic carbon, g/m^3            "</v>
      </c>
    </row>
    <row r="65" spans="13:20" x14ac:dyDescent="0.55000000000000004">
      <c r="N65" s="9"/>
      <c r="O65" s="5" t="s">
        <v>1049</v>
      </c>
      <c r="P65" s="5" t="s">
        <v>1050</v>
      </c>
      <c r="T65" t="str">
        <f t="shared" ref="T65:T68" si="2">CHAR(34)&amp;P65&amp;CHAR(34)</f>
        <v>"Particulate organic carbon, g/m^3          "</v>
      </c>
    </row>
    <row r="66" spans="13:20" x14ac:dyDescent="0.55000000000000004">
      <c r="N66" s="9"/>
      <c r="O66" s="5" t="s">
        <v>1051</v>
      </c>
      <c r="P66" s="5" t="s">
        <v>1052</v>
      </c>
      <c r="T66" t="str">
        <f t="shared" si="2"/>
        <v>"Total organic carbon, g/m^3                "</v>
      </c>
    </row>
    <row r="67" spans="13:20" x14ac:dyDescent="0.55000000000000004">
      <c r="N67" s="9"/>
      <c r="O67" s="5" t="s">
        <v>1053</v>
      </c>
      <c r="P67" s="5" t="s">
        <v>1054</v>
      </c>
      <c r="T67" t="str">
        <f t="shared" si="2"/>
        <v>"Dissolved organic nitrogen, g/m^3          "</v>
      </c>
    </row>
    <row r="68" spans="13:20" x14ac:dyDescent="0.55000000000000004">
      <c r="N68" s="9"/>
      <c r="O68" s="5" t="s">
        <v>1055</v>
      </c>
      <c r="P68" s="5" t="s">
        <v>1056</v>
      </c>
      <c r="T68" t="str">
        <f t="shared" si="2"/>
        <v>"Particulate organic nitrogen, g/m^3        "</v>
      </c>
    </row>
    <row r="69" spans="13:20" x14ac:dyDescent="0.55000000000000004">
      <c r="M69">
        <v>4</v>
      </c>
      <c r="N69" s="61" t="s">
        <v>0</v>
      </c>
      <c r="O69" s="33" t="s">
        <v>976</v>
      </c>
    </row>
    <row r="70" spans="13:20" x14ac:dyDescent="0.55000000000000004">
      <c r="N70" s="9" t="s">
        <v>488</v>
      </c>
      <c r="O70" s="5" t="s">
        <v>1665</v>
      </c>
      <c r="T70" t="str">
        <f>CHAR(34)&amp;O70&amp;CHAR(34)</f>
        <v>"CE-QUAL-W2 Model / Version 4.5"</v>
      </c>
    </row>
    <row r="71" spans="13:20" x14ac:dyDescent="0.55000000000000004">
      <c r="N71" s="9"/>
      <c r="O71" s="5" t="s">
        <v>1666</v>
      </c>
      <c r="T71" t="str">
        <f t="shared" ref="T71:T79" si="3">CHAR(34)&amp;O71&amp;CHAR(34)</f>
        <v>"Oxbow Reservoir"</v>
      </c>
    </row>
    <row r="72" spans="13:20" x14ac:dyDescent="0.55000000000000004">
      <c r="N72" s="9"/>
      <c r="O72" s="5" t="s">
        <v>1667</v>
      </c>
      <c r="T72" t="str">
        <f t="shared" si="3"/>
        <v>"2014-2018"</v>
      </c>
    </row>
    <row r="73" spans="13:20" x14ac:dyDescent="0.55000000000000004">
      <c r="N73" s="9"/>
      <c r="O73" s="5"/>
      <c r="T73" t="str">
        <f t="shared" si="3"/>
        <v>""</v>
      </c>
    </row>
    <row r="74" spans="13:20" x14ac:dyDescent="0.55000000000000004">
      <c r="N74" s="9"/>
      <c r="O74" s="5"/>
      <c r="T74" t="str">
        <f t="shared" si="3"/>
        <v>""</v>
      </c>
    </row>
    <row r="75" spans="13:20" x14ac:dyDescent="0.55000000000000004">
      <c r="N75" s="9"/>
      <c r="O75" s="5"/>
      <c r="T75" t="str">
        <f t="shared" si="3"/>
        <v>""</v>
      </c>
    </row>
    <row r="76" spans="13:20" x14ac:dyDescent="0.55000000000000004">
      <c r="N76" s="9"/>
      <c r="O76" s="5" t="s">
        <v>1668</v>
      </c>
      <c r="T76" t="str">
        <f t="shared" si="3"/>
        <v>"Scott Wells and Chris Berger"</v>
      </c>
    </row>
    <row r="77" spans="13:20" x14ac:dyDescent="0.55000000000000004">
      <c r="N77" s="9"/>
      <c r="O77" s="5"/>
      <c r="T77" t="str">
        <f t="shared" si="3"/>
        <v>""</v>
      </c>
    </row>
    <row r="78" spans="13:20" x14ac:dyDescent="0.55000000000000004">
      <c r="N78" s="9"/>
      <c r="O78" s="5"/>
      <c r="T78" t="str">
        <f t="shared" si="3"/>
        <v>""</v>
      </c>
    </row>
    <row r="79" spans="13:20" x14ac:dyDescent="0.55000000000000004">
      <c r="N79" s="9"/>
      <c r="O79" s="5"/>
      <c r="T79"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20" location="atm_deposition_wb1.csv!A1" display="atm_deposition_wb1.csv!A1" xr:uid="{663B3F39-0C8A-4973-88AB-CD69AE156E8B}"/>
    <hyperlink ref="B18" location="w2_diagenesis.npt!A1" display="w2_diagenesis.npt!A1" xr:uid="{3A58743D-539D-40F4-AED9-C9C93DCF435E}"/>
    <hyperlink ref="B14" location="w2_TDGTarget.csv!A1" display="w2_TDGTarget.csv!A1" xr:uid="{1F74125F-565C-4F79-A52B-21B52F638B86}"/>
    <hyperlink ref="B17" location="w2_Algae_Toxin.csv!A1" display="Algae_Toxin.csv!A1" xr:uid="{9C8660B0-9007-45CD-9743-832B3490E250}"/>
    <hyperlink ref="B16" location="w2_AlgaeMigration.csv!A1" display="AlgaeMigration.csv!A1" xr:uid="{E1EC4C2B-0525-4773-89A7-32FBBB29832E}"/>
    <hyperlink ref="B15" location="w2_lake_river_contour.csv!A1" display="lake_river_contour.csv!A1" xr:uid="{B9A5DCFE-1C8E-4E7E-A98E-B6EE423C551E}"/>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AM963"/>
  <sheetViews>
    <sheetView tabSelected="1" topLeftCell="B1" zoomScale="90" zoomScaleNormal="90" workbookViewId="0">
      <selection activeCell="C1" sqref="C1"/>
    </sheetView>
  </sheetViews>
  <sheetFormatPr defaultRowHeight="14.4" x14ac:dyDescent="0.55000000000000004"/>
  <cols>
    <col min="1" max="1" width="21.20703125" style="24" customWidth="1"/>
    <col min="2" max="2" width="49.41796875" style="10" customWidth="1"/>
    <col min="3" max="3" width="14.1015625" customWidth="1"/>
    <col min="4" max="4" width="15.15625" bestFit="1" customWidth="1"/>
    <col min="7" max="7" width="13.15625" bestFit="1" customWidth="1"/>
    <col min="8" max="8" width="9.9453125" customWidth="1"/>
    <col min="14" max="14" width="7.578125" customWidth="1"/>
    <col min="15" max="15" width="7.05078125" customWidth="1"/>
    <col min="25" max="25" width="8.83984375" customWidth="1"/>
    <col min="28" max="28" width="25.578125" customWidth="1"/>
  </cols>
  <sheetData>
    <row r="1" spans="1:13" x14ac:dyDescent="0.55000000000000004">
      <c r="A1" s="24" t="s">
        <v>913</v>
      </c>
      <c r="B1" s="19" t="s">
        <v>454</v>
      </c>
      <c r="C1" s="4" t="s">
        <v>208</v>
      </c>
      <c r="D1" s="4"/>
      <c r="E1" s="4">
        <v>5</v>
      </c>
      <c r="F1" s="4"/>
      <c r="G1" s="4"/>
      <c r="H1" s="4"/>
      <c r="I1" s="4"/>
      <c r="J1" s="4"/>
      <c r="K1" s="4"/>
      <c r="L1" s="4"/>
      <c r="M1" s="4"/>
    </row>
    <row r="2" spans="1:13" x14ac:dyDescent="0.55000000000000004">
      <c r="B2" s="16"/>
      <c r="C2" s="4" t="s">
        <v>732</v>
      </c>
      <c r="D2" s="4"/>
      <c r="E2" s="4">
        <v>5</v>
      </c>
      <c r="F2" s="4" t="s">
        <v>2465</v>
      </c>
      <c r="G2" s="4"/>
      <c r="H2" s="4"/>
      <c r="I2" s="4"/>
      <c r="J2" s="4"/>
      <c r="K2" s="4"/>
      <c r="L2" s="4"/>
      <c r="M2" s="4"/>
    </row>
    <row r="3" spans="1:13" x14ac:dyDescent="0.55000000000000004">
      <c r="A3" s="25" t="s">
        <v>933</v>
      </c>
      <c r="B3" s="61" t="s">
        <v>0</v>
      </c>
      <c r="C3" s="33" t="s">
        <v>976</v>
      </c>
      <c r="D3" s="4"/>
      <c r="E3" s="4"/>
      <c r="F3" s="4"/>
      <c r="G3" s="4"/>
      <c r="H3" s="4"/>
      <c r="I3" s="4"/>
      <c r="J3" s="4"/>
      <c r="K3" s="4"/>
      <c r="L3" s="4"/>
      <c r="M3" s="4"/>
    </row>
    <row r="4" spans="1:13" x14ac:dyDescent="0.55000000000000004">
      <c r="A4" s="25" t="s">
        <v>935</v>
      </c>
      <c r="B4" s="9" t="s">
        <v>488</v>
      </c>
      <c r="C4" s="5" t="s">
        <v>2358</v>
      </c>
      <c r="D4" s="4"/>
      <c r="E4" s="4"/>
      <c r="F4" s="4"/>
      <c r="G4" s="4"/>
      <c r="H4" s="4"/>
      <c r="I4" s="4"/>
      <c r="J4" s="4"/>
      <c r="K4" s="4"/>
      <c r="L4" s="4"/>
      <c r="M4" s="4"/>
    </row>
    <row r="5" spans="1:13" x14ac:dyDescent="0.55000000000000004">
      <c r="A5" s="25" t="s">
        <v>934</v>
      </c>
      <c r="B5" s="9"/>
      <c r="C5" s="5" t="s">
        <v>1200</v>
      </c>
      <c r="D5" s="4"/>
      <c r="E5" s="4"/>
      <c r="F5" s="4"/>
      <c r="G5" s="4"/>
      <c r="H5" s="4"/>
      <c r="I5" s="4"/>
      <c r="J5" s="4"/>
      <c r="K5" s="4"/>
      <c r="L5" s="4"/>
      <c r="M5" s="4"/>
    </row>
    <row r="6" spans="1:13" x14ac:dyDescent="0.55000000000000004">
      <c r="A6" s="25" t="s">
        <v>606</v>
      </c>
      <c r="B6" s="9"/>
      <c r="C6" s="5" t="s">
        <v>2359</v>
      </c>
      <c r="D6" s="4"/>
      <c r="E6" s="4"/>
      <c r="F6" s="4"/>
      <c r="G6" s="4"/>
      <c r="H6" s="4"/>
      <c r="I6" s="4"/>
      <c r="J6" s="4"/>
      <c r="K6" s="4"/>
      <c r="L6" s="4"/>
      <c r="M6" s="4"/>
    </row>
    <row r="7" spans="1:13" x14ac:dyDescent="0.55000000000000004">
      <c r="A7" s="24" t="s">
        <v>331</v>
      </c>
      <c r="B7" s="9"/>
      <c r="C7" s="5" t="s">
        <v>2360</v>
      </c>
      <c r="D7" s="4"/>
      <c r="E7" s="4"/>
      <c r="F7" s="4"/>
      <c r="G7" s="4"/>
      <c r="H7" s="4"/>
      <c r="I7" s="4"/>
      <c r="J7" s="4"/>
      <c r="K7" s="4"/>
      <c r="L7" s="4"/>
      <c r="M7" s="4"/>
    </row>
    <row r="8" spans="1:13" x14ac:dyDescent="0.55000000000000004">
      <c r="A8" s="24" t="s">
        <v>332</v>
      </c>
      <c r="B8" s="9"/>
      <c r="C8" s="5" t="s">
        <v>2361</v>
      </c>
      <c r="D8" s="4"/>
      <c r="E8" s="4"/>
      <c r="F8" s="4"/>
      <c r="G8" s="4"/>
      <c r="H8" s="4"/>
      <c r="I8" s="4"/>
      <c r="J8" s="4"/>
      <c r="K8" s="4"/>
      <c r="L8" s="4"/>
      <c r="M8" s="4"/>
    </row>
    <row r="9" spans="1:13" x14ac:dyDescent="0.55000000000000004">
      <c r="A9" s="24" t="s">
        <v>333</v>
      </c>
      <c r="B9" s="9"/>
      <c r="C9" s="5" t="s">
        <v>2362</v>
      </c>
      <c r="D9" s="4"/>
      <c r="E9" s="4"/>
      <c r="F9" s="4"/>
      <c r="G9" s="4"/>
      <c r="H9" s="4"/>
      <c r="I9" s="4"/>
      <c r="J9" s="4"/>
      <c r="K9" s="4"/>
      <c r="L9" s="4"/>
      <c r="M9" s="4"/>
    </row>
    <row r="10" spans="1:13" x14ac:dyDescent="0.55000000000000004">
      <c r="A10" s="24" t="s">
        <v>334</v>
      </c>
      <c r="B10" s="9"/>
      <c r="C10" s="5" t="s">
        <v>2363</v>
      </c>
      <c r="D10" s="4"/>
      <c r="E10" s="4"/>
      <c r="F10" s="4"/>
      <c r="G10" s="4"/>
      <c r="H10" s="4"/>
      <c r="I10" s="4"/>
      <c r="J10" s="4"/>
      <c r="K10" s="4"/>
      <c r="L10" s="4"/>
      <c r="M10" s="4"/>
    </row>
    <row r="11" spans="1:13" x14ac:dyDescent="0.55000000000000004">
      <c r="A11" s="24" t="s">
        <v>335</v>
      </c>
      <c r="B11" s="9"/>
      <c r="C11" s="5" t="s">
        <v>2364</v>
      </c>
      <c r="D11" s="4"/>
      <c r="E11" s="4"/>
      <c r="F11" s="4"/>
      <c r="G11" s="4"/>
      <c r="H11" s="4"/>
      <c r="I11" s="4"/>
      <c r="J11" s="4"/>
      <c r="K11" s="4"/>
      <c r="L11" s="4"/>
      <c r="M11" s="4"/>
    </row>
    <row r="12" spans="1:13" x14ac:dyDescent="0.55000000000000004">
      <c r="A12" s="24" t="s">
        <v>336</v>
      </c>
      <c r="B12" s="9"/>
      <c r="C12" s="5" t="s">
        <v>2512</v>
      </c>
      <c r="D12" s="4"/>
      <c r="E12" s="4"/>
      <c r="F12" s="4"/>
      <c r="G12" s="4"/>
      <c r="H12" s="4"/>
      <c r="I12" s="4"/>
      <c r="J12" s="4"/>
      <c r="K12" s="4"/>
      <c r="L12" s="4"/>
      <c r="M12" s="4"/>
    </row>
    <row r="13" spans="1:13" x14ac:dyDescent="0.55000000000000004">
      <c r="A13" s="24" t="s">
        <v>337</v>
      </c>
      <c r="B13" s="9"/>
      <c r="C13" s="5" t="s">
        <v>2513</v>
      </c>
      <c r="D13" s="4"/>
      <c r="E13" s="4"/>
      <c r="F13" s="4"/>
      <c r="G13" s="4"/>
      <c r="H13" s="4"/>
      <c r="I13" s="4"/>
      <c r="J13" s="4"/>
      <c r="K13" s="4"/>
      <c r="L13" s="4"/>
      <c r="M13" s="4"/>
    </row>
    <row r="14" spans="1:13" x14ac:dyDescent="0.55000000000000004">
      <c r="A14" s="24" t="s">
        <v>338</v>
      </c>
      <c r="B14" s="16"/>
      <c r="C14" s="4" t="s">
        <v>458</v>
      </c>
      <c r="D14" s="4"/>
      <c r="E14" s="4"/>
      <c r="F14" s="4"/>
      <c r="G14" s="4"/>
      <c r="H14" s="4"/>
      <c r="I14" s="4"/>
      <c r="J14" s="4"/>
      <c r="K14" s="4"/>
      <c r="L14" s="4"/>
      <c r="M14" s="4"/>
    </row>
    <row r="15" spans="1:13" x14ac:dyDescent="0.55000000000000004">
      <c r="A15" s="24" t="s">
        <v>339</v>
      </c>
      <c r="B15" s="61" t="s">
        <v>285</v>
      </c>
      <c r="C15" s="20" t="s">
        <v>1</v>
      </c>
      <c r="D15" s="4" t="s">
        <v>977</v>
      </c>
      <c r="E15" s="4" t="s">
        <v>978</v>
      </c>
      <c r="F15" s="4" t="s">
        <v>979</v>
      </c>
      <c r="G15" s="4" t="s">
        <v>980</v>
      </c>
      <c r="H15" s="4" t="s">
        <v>981</v>
      </c>
      <c r="I15" s="4"/>
      <c r="J15" s="4"/>
      <c r="K15" s="4"/>
      <c r="L15" s="4"/>
      <c r="M15" s="4"/>
    </row>
    <row r="16" spans="1:13" x14ac:dyDescent="0.55000000000000004">
      <c r="A16" s="24" t="s">
        <v>340</v>
      </c>
      <c r="B16" s="9"/>
      <c r="C16" s="5">
        <v>1</v>
      </c>
      <c r="D16" s="5">
        <v>1</v>
      </c>
      <c r="E16" s="5">
        <v>37</v>
      </c>
      <c r="F16" s="5">
        <v>47</v>
      </c>
      <c r="G16" s="5">
        <v>1</v>
      </c>
      <c r="H16" s="5" t="s">
        <v>998</v>
      </c>
      <c r="I16" s="4"/>
      <c r="J16" s="4"/>
      <c r="K16" s="4"/>
      <c r="L16" s="4"/>
      <c r="M16" s="4"/>
    </row>
    <row r="17" spans="1:23" x14ac:dyDescent="0.55000000000000004">
      <c r="A17" s="24" t="s">
        <v>341</v>
      </c>
      <c r="B17" s="16"/>
      <c r="C17" s="4" t="s">
        <v>458</v>
      </c>
      <c r="D17" s="4"/>
      <c r="E17" s="4"/>
      <c r="F17" s="4"/>
      <c r="G17" s="4"/>
      <c r="H17" s="4"/>
      <c r="I17" s="4"/>
      <c r="J17" s="4"/>
      <c r="K17" s="4"/>
      <c r="L17" s="4"/>
      <c r="M17" s="4"/>
    </row>
    <row r="18" spans="1:23" x14ac:dyDescent="0.55000000000000004">
      <c r="A18" s="24" t="s">
        <v>342</v>
      </c>
      <c r="B18" s="61" t="s">
        <v>284</v>
      </c>
      <c r="C18" s="20" t="s">
        <v>3</v>
      </c>
      <c r="D18" s="4" t="s">
        <v>983</v>
      </c>
      <c r="E18" s="4" t="s">
        <v>984</v>
      </c>
      <c r="F18" s="4" t="s">
        <v>985</v>
      </c>
      <c r="G18" s="4" t="s">
        <v>986</v>
      </c>
      <c r="H18" s="4" t="s">
        <v>987</v>
      </c>
      <c r="I18" s="4" t="s">
        <v>988</v>
      </c>
      <c r="J18" s="4" t="s">
        <v>989</v>
      </c>
      <c r="K18" s="4"/>
      <c r="L18" s="4"/>
      <c r="M18" s="4"/>
    </row>
    <row r="19" spans="1:23" x14ac:dyDescent="0.55000000000000004">
      <c r="A19" s="24" t="s">
        <v>343</v>
      </c>
      <c r="B19" s="9"/>
      <c r="C19" s="5">
        <v>1</v>
      </c>
      <c r="D19" s="5">
        <v>1</v>
      </c>
      <c r="E19" s="5">
        <v>0</v>
      </c>
      <c r="F19" s="5">
        <v>0</v>
      </c>
      <c r="G19" s="5">
        <v>0</v>
      </c>
      <c r="H19" s="5">
        <v>0</v>
      </c>
      <c r="I19" s="5">
        <v>0</v>
      </c>
      <c r="J19" s="5">
        <v>0</v>
      </c>
      <c r="K19" s="4"/>
      <c r="L19" s="4"/>
      <c r="M19" s="4"/>
    </row>
    <row r="20" spans="1:23" x14ac:dyDescent="0.55000000000000004">
      <c r="A20" s="24" t="s">
        <v>344</v>
      </c>
      <c r="B20" s="16"/>
      <c r="C20" s="4" t="s">
        <v>458</v>
      </c>
      <c r="D20" s="4"/>
      <c r="E20" s="4"/>
      <c r="F20" s="4"/>
      <c r="G20" s="4"/>
      <c r="H20" s="4"/>
      <c r="I20" s="4"/>
      <c r="J20" s="4"/>
      <c r="K20" s="4"/>
      <c r="L20" s="4"/>
      <c r="M20" s="4"/>
    </row>
    <row r="21" spans="1:23" x14ac:dyDescent="0.55000000000000004">
      <c r="A21" s="24" t="s">
        <v>345</v>
      </c>
      <c r="B21" s="61" t="s">
        <v>283</v>
      </c>
      <c r="C21" s="20" t="s">
        <v>4</v>
      </c>
      <c r="D21" s="4" t="s">
        <v>990</v>
      </c>
      <c r="E21" s="4" t="s">
        <v>991</v>
      </c>
      <c r="F21" s="4" t="s">
        <v>992</v>
      </c>
      <c r="G21" s="4" t="s">
        <v>993</v>
      </c>
      <c r="H21" s="4" t="s">
        <v>994</v>
      </c>
      <c r="I21" s="4" t="s">
        <v>995</v>
      </c>
      <c r="J21" s="4"/>
      <c r="K21" s="4"/>
      <c r="L21" s="4"/>
      <c r="M21" s="4"/>
    </row>
    <row r="22" spans="1:23" x14ac:dyDescent="0.55000000000000004">
      <c r="A22" s="27" t="s">
        <v>910</v>
      </c>
      <c r="B22" s="9"/>
      <c r="C22" s="5">
        <v>5</v>
      </c>
      <c r="D22" s="5">
        <v>1</v>
      </c>
      <c r="E22" s="5">
        <v>3</v>
      </c>
      <c r="F22" s="5">
        <v>1</v>
      </c>
      <c r="G22" s="5">
        <v>10</v>
      </c>
      <c r="H22" s="5">
        <v>0</v>
      </c>
      <c r="I22" s="5">
        <v>1</v>
      </c>
      <c r="J22" s="4"/>
      <c r="K22" s="4"/>
      <c r="L22" s="4"/>
      <c r="M22" s="4"/>
    </row>
    <row r="23" spans="1:23" x14ac:dyDescent="0.55000000000000004">
      <c r="A23" s="26" t="s">
        <v>894</v>
      </c>
      <c r="B23" s="16"/>
      <c r="C23" s="4" t="s">
        <v>458</v>
      </c>
      <c r="D23" s="4"/>
      <c r="E23" s="4"/>
      <c r="F23" s="4"/>
      <c r="G23" s="4"/>
      <c r="H23" s="4"/>
      <c r="I23" s="4"/>
      <c r="J23" s="4"/>
      <c r="K23" s="4"/>
      <c r="L23" s="4"/>
      <c r="M23" s="4"/>
    </row>
    <row r="24" spans="1:23" x14ac:dyDescent="0.55000000000000004">
      <c r="A24" s="26" t="s">
        <v>895</v>
      </c>
      <c r="B24" s="61" t="s">
        <v>286</v>
      </c>
      <c r="C24" s="20" t="s">
        <v>5</v>
      </c>
      <c r="D24" s="4" t="s">
        <v>6</v>
      </c>
      <c r="E24" s="4" t="s">
        <v>7</v>
      </c>
      <c r="F24" s="4" t="s">
        <v>8</v>
      </c>
      <c r="G24" s="4" t="s">
        <v>9</v>
      </c>
      <c r="H24" s="4" t="s">
        <v>10</v>
      </c>
      <c r="I24" s="4" t="s">
        <v>1544</v>
      </c>
      <c r="J24" s="4" t="s">
        <v>2243</v>
      </c>
      <c r="K24" s="108" t="s">
        <v>2466</v>
      </c>
      <c r="L24" s="108" t="s">
        <v>2467</v>
      </c>
      <c r="M24" s="4"/>
    </row>
    <row r="25" spans="1:23" x14ac:dyDescent="0.55000000000000004">
      <c r="A25" s="26" t="s">
        <v>896</v>
      </c>
      <c r="B25" s="9"/>
      <c r="C25" s="5">
        <v>100</v>
      </c>
      <c r="D25" s="5" t="s">
        <v>982</v>
      </c>
      <c r="E25" s="5" t="s">
        <v>998</v>
      </c>
      <c r="F25" s="5" t="s">
        <v>982</v>
      </c>
      <c r="G25" s="5" t="s">
        <v>982</v>
      </c>
      <c r="H25" s="5" t="s">
        <v>982</v>
      </c>
      <c r="I25" s="5" t="s">
        <v>11</v>
      </c>
      <c r="J25" s="5" t="s">
        <v>11</v>
      </c>
      <c r="K25" s="108">
        <v>100</v>
      </c>
      <c r="L25" s="108" t="s">
        <v>11</v>
      </c>
      <c r="M25" s="4"/>
    </row>
    <row r="26" spans="1:23" x14ac:dyDescent="0.55000000000000004">
      <c r="A26" s="26" t="s">
        <v>897</v>
      </c>
      <c r="B26" s="16"/>
      <c r="C26" s="4" t="s">
        <v>458</v>
      </c>
      <c r="D26" s="4"/>
      <c r="E26" s="4"/>
      <c r="F26" s="8"/>
      <c r="G26" s="4"/>
      <c r="H26" s="4"/>
      <c r="I26" s="4"/>
      <c r="J26" s="4"/>
      <c r="K26" s="4"/>
      <c r="L26" s="4"/>
      <c r="M26" s="4"/>
      <c r="R26" s="2"/>
      <c r="S26" s="2"/>
      <c r="T26" s="2"/>
      <c r="U26" s="2"/>
      <c r="V26" s="2"/>
      <c r="W26" s="2"/>
    </row>
    <row r="27" spans="1:23" x14ac:dyDescent="0.55000000000000004">
      <c r="A27" s="26" t="s">
        <v>898</v>
      </c>
      <c r="B27" s="61" t="s">
        <v>12</v>
      </c>
      <c r="C27" s="20" t="s">
        <v>13</v>
      </c>
      <c r="D27" s="4" t="s">
        <v>996</v>
      </c>
      <c r="E27" s="4" t="s">
        <v>14</v>
      </c>
      <c r="F27" s="8"/>
      <c r="G27" s="4"/>
      <c r="H27" s="4"/>
      <c r="I27" s="4"/>
      <c r="J27" s="4"/>
      <c r="K27" s="4"/>
      <c r="L27" s="4"/>
      <c r="M27" s="4"/>
    </row>
    <row r="28" spans="1:23" x14ac:dyDescent="0.55000000000000004">
      <c r="A28" s="26" t="s">
        <v>899</v>
      </c>
      <c r="B28" s="9" t="s">
        <v>1485</v>
      </c>
      <c r="C28" s="53">
        <v>1.0417000000000001</v>
      </c>
      <c r="D28" s="5">
        <v>240</v>
      </c>
      <c r="E28" s="5">
        <v>2000</v>
      </c>
      <c r="F28" s="3"/>
      <c r="G28" s="4"/>
      <c r="H28" s="4"/>
      <c r="I28" s="4"/>
      <c r="J28" s="4"/>
      <c r="K28" s="4"/>
      <c r="L28" s="4"/>
      <c r="M28" s="4"/>
      <c r="N28" s="52"/>
      <c r="O28" s="52"/>
      <c r="P28" s="22"/>
    </row>
    <row r="29" spans="1:23" x14ac:dyDescent="0.55000000000000004">
      <c r="A29" s="42" t="s">
        <v>2247</v>
      </c>
      <c r="B29" s="16"/>
      <c r="C29" s="4" t="s">
        <v>458</v>
      </c>
      <c r="D29" s="4"/>
      <c r="E29" s="4"/>
      <c r="F29" s="4"/>
      <c r="G29" s="4"/>
      <c r="H29" s="4"/>
      <c r="I29" s="4"/>
      <c r="J29" s="4"/>
      <c r="K29" s="4"/>
      <c r="L29" s="4"/>
      <c r="M29" s="4"/>
      <c r="P29" s="22"/>
    </row>
    <row r="30" spans="1:23" x14ac:dyDescent="0.55000000000000004">
      <c r="A30" s="54" t="s">
        <v>1484</v>
      </c>
      <c r="B30" s="61" t="s">
        <v>15</v>
      </c>
      <c r="C30" s="20" t="s">
        <v>398</v>
      </c>
      <c r="D30" s="4" t="s">
        <v>16</v>
      </c>
      <c r="E30" s="4" t="s">
        <v>997</v>
      </c>
      <c r="F30" s="4"/>
      <c r="G30" s="4"/>
      <c r="H30" s="4"/>
      <c r="I30" s="4"/>
      <c r="J30" s="4"/>
      <c r="K30" s="4"/>
      <c r="L30" s="4"/>
      <c r="M30" s="4"/>
      <c r="P30" s="22"/>
    </row>
    <row r="31" spans="1:23" x14ac:dyDescent="0.55000000000000004">
      <c r="A31" s="54" t="s">
        <v>13</v>
      </c>
      <c r="B31" s="9" t="s">
        <v>453</v>
      </c>
      <c r="C31" s="5">
        <v>6</v>
      </c>
      <c r="D31" s="5">
        <v>0.1</v>
      </c>
      <c r="E31" s="5" t="s">
        <v>998</v>
      </c>
      <c r="F31" s="4"/>
      <c r="G31" s="4"/>
      <c r="H31" s="4"/>
      <c r="I31" s="4"/>
      <c r="J31" s="4"/>
      <c r="K31" s="4"/>
      <c r="L31" s="4"/>
      <c r="M31" s="4"/>
      <c r="P31" s="22"/>
    </row>
    <row r="32" spans="1:23" x14ac:dyDescent="0.55000000000000004">
      <c r="A32" s="55">
        <v>29284.5</v>
      </c>
      <c r="B32" s="16"/>
      <c r="C32" s="4" t="s">
        <v>458</v>
      </c>
      <c r="D32" s="4"/>
      <c r="E32" s="4"/>
      <c r="F32" s="4"/>
      <c r="G32" s="4"/>
      <c r="H32" s="4"/>
      <c r="I32" s="4"/>
      <c r="J32" s="4"/>
      <c r="K32" s="4"/>
      <c r="L32" s="4"/>
      <c r="M32" s="4"/>
      <c r="O32" s="22"/>
      <c r="P32" s="22"/>
    </row>
    <row r="33" spans="1:16" x14ac:dyDescent="0.55000000000000004">
      <c r="A33" s="54" t="s">
        <v>1483</v>
      </c>
      <c r="B33" s="61" t="s">
        <v>17</v>
      </c>
      <c r="C33" s="4" t="s">
        <v>18</v>
      </c>
      <c r="D33" s="4" t="s">
        <v>18</v>
      </c>
      <c r="E33" s="4" t="s">
        <v>18</v>
      </c>
      <c r="F33" s="4" t="s">
        <v>18</v>
      </c>
      <c r="G33" s="4" t="s">
        <v>18</v>
      </c>
      <c r="H33" s="4" t="s">
        <v>18</v>
      </c>
      <c r="I33" s="4" t="s">
        <v>18</v>
      </c>
      <c r="J33" s="4" t="s">
        <v>18</v>
      </c>
      <c r="K33" s="4" t="s">
        <v>18</v>
      </c>
      <c r="L33" s="4" t="s">
        <v>18</v>
      </c>
      <c r="M33" s="4"/>
      <c r="O33" s="22"/>
      <c r="P33" s="22"/>
    </row>
    <row r="34" spans="1:16" x14ac:dyDescent="0.55000000000000004">
      <c r="A34" s="56">
        <v>29578.7</v>
      </c>
      <c r="B34" s="9" t="s">
        <v>329</v>
      </c>
      <c r="C34" s="5">
        <v>1</v>
      </c>
      <c r="D34" s="5">
        <v>1.2</v>
      </c>
      <c r="E34" s="5">
        <v>30</v>
      </c>
      <c r="F34" s="5">
        <v>40</v>
      </c>
      <c r="G34" s="5">
        <v>175</v>
      </c>
      <c r="H34" s="5">
        <v>193</v>
      </c>
      <c r="I34" s="4"/>
      <c r="J34" s="4"/>
      <c r="K34" s="4"/>
      <c r="L34" s="4"/>
      <c r="M34" s="4"/>
    </row>
    <row r="35" spans="1:16" x14ac:dyDescent="0.55000000000000004">
      <c r="A35" s="76">
        <f>A32-DATEVALUE("1/1/"&amp;A38)+1</f>
        <v>64.5</v>
      </c>
      <c r="B35" s="16"/>
      <c r="C35" s="4" t="s">
        <v>458</v>
      </c>
      <c r="D35" s="4"/>
      <c r="E35" s="4"/>
      <c r="F35" s="4"/>
      <c r="G35" s="4"/>
      <c r="H35" s="4"/>
      <c r="I35" s="4"/>
      <c r="J35" s="4"/>
      <c r="K35" s="4"/>
      <c r="L35" s="4"/>
      <c r="M35" s="4"/>
    </row>
    <row r="36" spans="1:16" x14ac:dyDescent="0.55000000000000004">
      <c r="A36" s="76">
        <f>A34-DATEVALUE("1/1/"&amp;A38)+1</f>
        <v>358.70000000000073</v>
      </c>
      <c r="B36" s="61" t="s">
        <v>19</v>
      </c>
      <c r="C36" s="4" t="s">
        <v>20</v>
      </c>
      <c r="D36" s="4" t="s">
        <v>20</v>
      </c>
      <c r="E36" s="4" t="s">
        <v>20</v>
      </c>
      <c r="F36" s="4" t="s">
        <v>20</v>
      </c>
      <c r="G36" s="4" t="s">
        <v>20</v>
      </c>
      <c r="H36" s="4" t="s">
        <v>20</v>
      </c>
      <c r="I36" s="4" t="s">
        <v>20</v>
      </c>
      <c r="J36" s="4" t="s">
        <v>20</v>
      </c>
      <c r="K36" s="4" t="s">
        <v>20</v>
      </c>
      <c r="L36" s="4"/>
      <c r="M36" s="4"/>
    </row>
    <row r="37" spans="1:16" x14ac:dyDescent="0.55000000000000004">
      <c r="A37" s="77" t="s">
        <v>1641</v>
      </c>
      <c r="B37" s="9" t="s">
        <v>399</v>
      </c>
      <c r="C37" s="5">
        <v>5</v>
      </c>
      <c r="D37" s="5">
        <v>800</v>
      </c>
      <c r="E37" s="5">
        <v>100</v>
      </c>
      <c r="F37" s="5">
        <v>1800</v>
      </c>
      <c r="G37" s="5">
        <v>60</v>
      </c>
      <c r="H37" s="5">
        <v>100</v>
      </c>
      <c r="I37" s="4"/>
      <c r="J37" s="4"/>
      <c r="K37" s="4"/>
      <c r="L37" s="4"/>
      <c r="M37" s="4"/>
    </row>
    <row r="38" spans="1:16" x14ac:dyDescent="0.55000000000000004">
      <c r="A38" s="77">
        <f>YEAR(A32)</f>
        <v>1980</v>
      </c>
      <c r="B38" s="16"/>
      <c r="C38" s="4" t="s">
        <v>458</v>
      </c>
      <c r="D38" s="4"/>
      <c r="E38" s="4"/>
      <c r="F38" s="4"/>
      <c r="G38" s="4"/>
      <c r="H38" s="4"/>
      <c r="I38" s="4"/>
      <c r="J38" s="4"/>
      <c r="K38" s="4"/>
      <c r="L38" s="4"/>
      <c r="M38" s="4"/>
    </row>
    <row r="39" spans="1:16" x14ac:dyDescent="0.55000000000000004">
      <c r="A39" t="s">
        <v>1614</v>
      </c>
      <c r="B39" s="61" t="s">
        <v>21</v>
      </c>
      <c r="C39" s="20" t="s">
        <v>22</v>
      </c>
      <c r="D39" s="4" t="s">
        <v>22</v>
      </c>
      <c r="E39" s="4" t="s">
        <v>22</v>
      </c>
      <c r="F39" s="4" t="s">
        <v>22</v>
      </c>
      <c r="G39" s="4" t="s">
        <v>22</v>
      </c>
      <c r="H39" s="4" t="s">
        <v>22</v>
      </c>
      <c r="I39" s="4" t="s">
        <v>22</v>
      </c>
      <c r="J39" s="4" t="s">
        <v>22</v>
      </c>
      <c r="K39" s="4" t="s">
        <v>22</v>
      </c>
      <c r="L39" s="4" t="s">
        <v>22</v>
      </c>
      <c r="M39" s="4"/>
    </row>
    <row r="40" spans="1:16" x14ac:dyDescent="0.55000000000000004">
      <c r="A40" s="66" t="s">
        <v>1613</v>
      </c>
      <c r="B40" s="9" t="s">
        <v>400</v>
      </c>
      <c r="C40" s="5">
        <v>0.9</v>
      </c>
      <c r="D40" s="5">
        <v>0.9</v>
      </c>
      <c r="E40" s="5">
        <v>0.9</v>
      </c>
      <c r="F40" s="5">
        <v>0.9</v>
      </c>
      <c r="G40" s="5">
        <v>0.2</v>
      </c>
      <c r="H40" s="5">
        <v>0.2</v>
      </c>
      <c r="I40" s="4"/>
      <c r="J40" s="4"/>
      <c r="K40" s="4"/>
      <c r="L40" s="4"/>
      <c r="M40" s="4"/>
    </row>
    <row r="41" spans="1:16" x14ac:dyDescent="0.55000000000000004">
      <c r="B41" s="16"/>
      <c r="C41" s="4" t="s">
        <v>458</v>
      </c>
      <c r="D41" s="4"/>
      <c r="E41" s="4"/>
      <c r="F41" s="4"/>
      <c r="G41" s="4"/>
      <c r="H41" s="4"/>
      <c r="I41" s="4"/>
      <c r="J41" s="4"/>
      <c r="K41" s="4"/>
      <c r="L41" s="4"/>
      <c r="M41" s="4"/>
    </row>
    <row r="42" spans="1:16" x14ac:dyDescent="0.55000000000000004">
      <c r="B42" s="61" t="s">
        <v>210</v>
      </c>
      <c r="C42" s="4" t="s">
        <v>82</v>
      </c>
      <c r="D42" s="4" t="s">
        <v>83</v>
      </c>
      <c r="E42" s="4" t="s">
        <v>84</v>
      </c>
      <c r="F42" s="4" t="s">
        <v>85</v>
      </c>
      <c r="G42" s="4" t="s">
        <v>86</v>
      </c>
      <c r="H42" s="4" t="s">
        <v>87</v>
      </c>
      <c r="I42" s="4" t="s">
        <v>88</v>
      </c>
      <c r="J42" s="4" t="s">
        <v>89</v>
      </c>
      <c r="K42" s="4" t="s">
        <v>93</v>
      </c>
      <c r="L42" s="4" t="s">
        <v>94</v>
      </c>
      <c r="M42" s="4"/>
    </row>
    <row r="43" spans="1:16" x14ac:dyDescent="0.55000000000000004">
      <c r="B43" s="9" t="s">
        <v>401</v>
      </c>
      <c r="C43" s="5" t="s">
        <v>998</v>
      </c>
      <c r="D43" s="4"/>
      <c r="E43" s="4"/>
      <c r="F43" s="4"/>
      <c r="G43" s="4"/>
      <c r="H43" s="4"/>
      <c r="I43" s="4"/>
      <c r="J43" s="4"/>
      <c r="K43" s="4"/>
      <c r="L43" s="4"/>
      <c r="M43" s="4"/>
    </row>
    <row r="44" spans="1:16" x14ac:dyDescent="0.55000000000000004">
      <c r="B44" s="9" t="s">
        <v>402</v>
      </c>
      <c r="C44" s="5" t="s">
        <v>998</v>
      </c>
      <c r="D44" s="4"/>
      <c r="E44" s="4"/>
      <c r="F44" s="4"/>
      <c r="G44" s="4"/>
      <c r="H44" s="4"/>
      <c r="I44" s="4"/>
      <c r="J44" s="4"/>
      <c r="K44" s="4"/>
      <c r="L44" s="4"/>
      <c r="M44" s="4"/>
    </row>
    <row r="45" spans="1:16" x14ac:dyDescent="0.55000000000000004">
      <c r="A45" s="24" t="s">
        <v>330</v>
      </c>
      <c r="B45" s="9" t="s">
        <v>403</v>
      </c>
      <c r="C45" s="5" t="s">
        <v>11</v>
      </c>
      <c r="D45" s="4"/>
      <c r="E45" s="4"/>
      <c r="F45" s="4"/>
      <c r="G45" s="4"/>
      <c r="H45" s="4"/>
      <c r="I45" s="4"/>
      <c r="J45" s="4"/>
      <c r="K45" s="4"/>
      <c r="L45" s="4"/>
      <c r="M45" s="4"/>
    </row>
    <row r="46" spans="1:16" x14ac:dyDescent="0.55000000000000004">
      <c r="B46" s="16"/>
      <c r="C46" s="4" t="s">
        <v>458</v>
      </c>
      <c r="D46" s="4"/>
      <c r="E46" s="4"/>
      <c r="F46" s="4"/>
      <c r="G46" s="4"/>
      <c r="H46" s="4"/>
      <c r="I46" s="4"/>
      <c r="J46" s="4"/>
      <c r="K46" s="4"/>
      <c r="L46" s="4"/>
      <c r="M46" s="4"/>
    </row>
    <row r="47" spans="1:16" x14ac:dyDescent="0.55000000000000004">
      <c r="B47" s="61" t="s">
        <v>211</v>
      </c>
      <c r="C47" s="20" t="s">
        <v>23</v>
      </c>
      <c r="D47" s="4" t="s">
        <v>76</v>
      </c>
      <c r="E47" s="4" t="s">
        <v>77</v>
      </c>
      <c r="F47" s="4" t="s">
        <v>78</v>
      </c>
      <c r="G47" s="4" t="s">
        <v>79</v>
      </c>
      <c r="H47" s="4" t="s">
        <v>80</v>
      </c>
      <c r="I47" s="4" t="s">
        <v>81</v>
      </c>
      <c r="J47" s="4" t="s">
        <v>90</v>
      </c>
      <c r="K47" s="4" t="s">
        <v>91</v>
      </c>
      <c r="L47" s="4" t="s">
        <v>92</v>
      </c>
      <c r="M47" s="4"/>
    </row>
    <row r="48" spans="1:16" x14ac:dyDescent="0.55000000000000004">
      <c r="B48" s="9" t="s">
        <v>407</v>
      </c>
      <c r="C48" s="5">
        <v>2</v>
      </c>
      <c r="D48" s="4"/>
      <c r="E48" s="4"/>
      <c r="F48" s="4"/>
      <c r="G48" s="4"/>
      <c r="H48" s="4"/>
      <c r="I48" s="4"/>
      <c r="J48" s="4"/>
      <c r="K48" s="4"/>
      <c r="L48" s="4"/>
      <c r="M48" s="4"/>
    </row>
    <row r="49" spans="2:13" x14ac:dyDescent="0.55000000000000004">
      <c r="B49" s="9" t="s">
        <v>406</v>
      </c>
      <c r="C49" s="5">
        <v>36</v>
      </c>
      <c r="D49" s="4"/>
      <c r="E49" s="4"/>
      <c r="F49" s="4"/>
      <c r="G49" s="4"/>
      <c r="H49" s="4"/>
      <c r="I49" s="4"/>
      <c r="J49" s="4"/>
      <c r="K49" s="4"/>
      <c r="L49" s="4"/>
      <c r="M49" s="4"/>
    </row>
    <row r="50" spans="2:13" x14ac:dyDescent="0.55000000000000004">
      <c r="B50" s="9" t="s">
        <v>1208</v>
      </c>
      <c r="C50" s="5">
        <v>0</v>
      </c>
      <c r="D50" s="4"/>
      <c r="E50" s="4"/>
      <c r="F50" s="4"/>
      <c r="G50" s="4"/>
      <c r="H50" s="4"/>
      <c r="I50" s="4"/>
      <c r="J50" s="4"/>
      <c r="K50" s="4"/>
      <c r="L50" s="4"/>
      <c r="M50" s="4"/>
    </row>
    <row r="51" spans="2:13" x14ac:dyDescent="0.55000000000000004">
      <c r="B51" s="9" t="s">
        <v>405</v>
      </c>
      <c r="C51" s="5">
        <v>0</v>
      </c>
      <c r="D51" s="4"/>
      <c r="E51" s="4"/>
      <c r="F51" s="4"/>
      <c r="G51" s="4"/>
      <c r="H51" s="4"/>
      <c r="I51" s="4"/>
      <c r="J51" s="4"/>
      <c r="K51" s="4"/>
      <c r="L51" s="4"/>
      <c r="M51" s="4"/>
    </row>
    <row r="52" spans="2:13" x14ac:dyDescent="0.55000000000000004">
      <c r="B52" s="9" t="s">
        <v>404</v>
      </c>
      <c r="C52" s="5">
        <v>1</v>
      </c>
      <c r="D52" s="4"/>
      <c r="E52" s="4"/>
      <c r="F52" s="4"/>
      <c r="G52" s="4"/>
      <c r="H52" s="4"/>
      <c r="I52" s="4"/>
      <c r="J52" s="4"/>
      <c r="K52" s="4"/>
      <c r="L52" s="4"/>
      <c r="M52" s="4"/>
    </row>
    <row r="53" spans="2:13" x14ac:dyDescent="0.55000000000000004">
      <c r="B53" s="9" t="s">
        <v>408</v>
      </c>
      <c r="C53" s="5">
        <v>0</v>
      </c>
      <c r="D53" s="4"/>
      <c r="E53" s="4"/>
      <c r="F53" s="4"/>
      <c r="G53" s="4"/>
      <c r="H53" s="4"/>
      <c r="I53" s="4"/>
      <c r="J53" s="4"/>
      <c r="K53" s="4"/>
      <c r="L53" s="4"/>
      <c r="M53" s="4"/>
    </row>
    <row r="54" spans="2:13" x14ac:dyDescent="0.55000000000000004">
      <c r="B54" s="9" t="s">
        <v>409</v>
      </c>
      <c r="C54" s="5">
        <v>0</v>
      </c>
      <c r="D54" s="4"/>
      <c r="E54" s="4"/>
      <c r="F54" s="4"/>
      <c r="G54" s="4"/>
      <c r="H54" s="4"/>
      <c r="I54" s="4"/>
      <c r="J54" s="4"/>
      <c r="K54" s="4"/>
      <c r="L54" s="4"/>
      <c r="M54" s="4"/>
    </row>
    <row r="55" spans="2:13" x14ac:dyDescent="0.55000000000000004">
      <c r="B55" s="16"/>
      <c r="C55" s="4" t="s">
        <v>458</v>
      </c>
      <c r="D55" s="4"/>
      <c r="E55" s="4"/>
      <c r="F55" s="4"/>
      <c r="G55" s="4"/>
      <c r="H55" s="4"/>
      <c r="I55" s="4"/>
      <c r="J55" s="4"/>
      <c r="K55" s="4"/>
      <c r="L55" s="4"/>
      <c r="M55" s="4"/>
    </row>
    <row r="56" spans="2:13" x14ac:dyDescent="0.55000000000000004">
      <c r="B56" s="61" t="s">
        <v>24</v>
      </c>
      <c r="C56" s="20" t="s">
        <v>82</v>
      </c>
      <c r="D56" s="4" t="s">
        <v>83</v>
      </c>
      <c r="E56" s="4" t="s">
        <v>84</v>
      </c>
      <c r="F56" s="4" t="s">
        <v>85</v>
      </c>
      <c r="G56" s="4" t="s">
        <v>86</v>
      </c>
      <c r="H56" s="4" t="s">
        <v>87</v>
      </c>
      <c r="I56" s="4" t="s">
        <v>88</v>
      </c>
      <c r="J56" s="4" t="s">
        <v>89</v>
      </c>
      <c r="K56" s="4" t="s">
        <v>93</v>
      </c>
      <c r="L56" s="4" t="s">
        <v>94</v>
      </c>
      <c r="M56" s="4"/>
    </row>
    <row r="57" spans="2:13" x14ac:dyDescent="0.55000000000000004">
      <c r="B57" s="9" t="s">
        <v>490</v>
      </c>
      <c r="C57" s="5">
        <v>47.8</v>
      </c>
      <c r="D57" s="4"/>
      <c r="E57" s="4"/>
      <c r="F57" s="4"/>
      <c r="G57" s="4"/>
      <c r="H57" s="4"/>
      <c r="I57" s="4"/>
      <c r="J57" s="4"/>
      <c r="K57" s="4"/>
      <c r="L57" s="4"/>
      <c r="M57" s="4"/>
    </row>
    <row r="58" spans="2:13" x14ac:dyDescent="0.55000000000000004">
      <c r="B58" s="9" t="s">
        <v>489</v>
      </c>
      <c r="C58" s="5">
        <v>117.8</v>
      </c>
      <c r="D58" s="4"/>
      <c r="E58" s="4"/>
      <c r="F58" s="4"/>
      <c r="G58" s="4"/>
      <c r="H58" s="4"/>
      <c r="I58" s="4"/>
      <c r="J58" s="4"/>
      <c r="K58" s="4"/>
      <c r="L58" s="4"/>
      <c r="M58" s="4"/>
    </row>
    <row r="59" spans="2:13" x14ac:dyDescent="0.55000000000000004">
      <c r="B59" s="9" t="s">
        <v>491</v>
      </c>
      <c r="C59" s="5">
        <v>422.10001</v>
      </c>
      <c r="D59" s="4"/>
      <c r="E59" s="4"/>
      <c r="F59" s="4"/>
      <c r="G59" s="4"/>
      <c r="H59" s="4"/>
      <c r="I59" s="4"/>
      <c r="J59" s="4"/>
      <c r="K59" s="4"/>
      <c r="L59" s="4"/>
      <c r="M59" s="4"/>
    </row>
    <row r="60" spans="2:13" x14ac:dyDescent="0.55000000000000004">
      <c r="B60" s="9" t="s">
        <v>492</v>
      </c>
      <c r="C60" s="5">
        <v>1</v>
      </c>
      <c r="D60" s="4"/>
      <c r="E60" s="4"/>
      <c r="F60" s="4"/>
      <c r="G60" s="4"/>
      <c r="H60" s="4"/>
      <c r="I60" s="4"/>
      <c r="J60" s="4"/>
      <c r="K60" s="4"/>
      <c r="L60" s="4"/>
      <c r="M60" s="4"/>
    </row>
    <row r="61" spans="2:13" x14ac:dyDescent="0.55000000000000004">
      <c r="B61" s="9" t="s">
        <v>493</v>
      </c>
      <c r="C61" s="5">
        <v>1</v>
      </c>
      <c r="D61" s="4"/>
      <c r="E61" s="4"/>
      <c r="F61" s="4"/>
      <c r="G61" s="4"/>
      <c r="H61" s="4"/>
      <c r="I61" s="4"/>
      <c r="J61" s="4"/>
      <c r="K61" s="4"/>
      <c r="L61" s="4"/>
      <c r="M61" s="4"/>
    </row>
    <row r="62" spans="2:13" x14ac:dyDescent="0.55000000000000004">
      <c r="B62" s="9" t="s">
        <v>494</v>
      </c>
      <c r="C62" s="5">
        <v>1</v>
      </c>
      <c r="D62" s="4"/>
      <c r="E62" s="4"/>
      <c r="F62" s="4"/>
      <c r="G62" s="4"/>
      <c r="H62" s="4"/>
      <c r="I62" s="4"/>
      <c r="J62" s="4"/>
      <c r="K62" s="4"/>
      <c r="L62" s="4"/>
      <c r="M62" s="4"/>
    </row>
    <row r="63" spans="2:13" x14ac:dyDescent="0.55000000000000004">
      <c r="B63" s="16"/>
      <c r="C63" s="4" t="s">
        <v>458</v>
      </c>
      <c r="D63" s="4"/>
      <c r="E63" s="4"/>
      <c r="F63" s="4"/>
      <c r="G63" s="4"/>
      <c r="H63" s="4"/>
      <c r="I63" s="4"/>
      <c r="J63" s="4"/>
      <c r="K63" s="4"/>
      <c r="L63" s="4"/>
      <c r="M63" s="4"/>
    </row>
    <row r="64" spans="2:13" x14ac:dyDescent="0.55000000000000004">
      <c r="B64" s="61" t="s">
        <v>25</v>
      </c>
      <c r="C64" s="4" t="s">
        <v>82</v>
      </c>
      <c r="D64" s="4" t="s">
        <v>83</v>
      </c>
      <c r="E64" s="4" t="s">
        <v>84</v>
      </c>
      <c r="F64" s="4" t="s">
        <v>85</v>
      </c>
      <c r="G64" s="4" t="s">
        <v>86</v>
      </c>
      <c r="H64" s="4" t="s">
        <v>87</v>
      </c>
      <c r="I64" s="4" t="s">
        <v>88</v>
      </c>
      <c r="J64" s="4" t="s">
        <v>89</v>
      </c>
      <c r="K64" s="4" t="s">
        <v>93</v>
      </c>
      <c r="L64" s="4" t="s">
        <v>94</v>
      </c>
      <c r="M64" s="4"/>
    </row>
    <row r="65" spans="2:13" x14ac:dyDescent="0.55000000000000004">
      <c r="B65" s="9" t="s">
        <v>315</v>
      </c>
      <c r="C65" s="5">
        <v>9</v>
      </c>
      <c r="D65" s="4"/>
      <c r="E65" s="4"/>
      <c r="F65" s="4"/>
      <c r="G65" s="4"/>
      <c r="H65" s="4"/>
      <c r="I65" s="4"/>
      <c r="J65" s="4"/>
      <c r="K65" s="4"/>
      <c r="L65" s="4"/>
      <c r="M65" s="4"/>
    </row>
    <row r="66" spans="2:13" x14ac:dyDescent="0.55000000000000004">
      <c r="B66" s="9" t="s">
        <v>316</v>
      </c>
      <c r="C66" s="5">
        <v>0</v>
      </c>
      <c r="D66" s="4"/>
      <c r="E66" s="4"/>
      <c r="F66" s="4"/>
      <c r="G66" s="4"/>
      <c r="H66" s="4"/>
      <c r="I66" s="4"/>
      <c r="J66" s="4"/>
      <c r="K66" s="4"/>
      <c r="L66" s="4"/>
      <c r="M66" s="4"/>
    </row>
    <row r="67" spans="2:13" x14ac:dyDescent="0.55000000000000004">
      <c r="B67" s="9" t="s">
        <v>317</v>
      </c>
      <c r="C67" s="5" t="s">
        <v>999</v>
      </c>
      <c r="D67" s="4"/>
      <c r="E67" s="4"/>
      <c r="F67" s="4"/>
      <c r="G67" s="4"/>
      <c r="H67" s="4"/>
      <c r="I67" s="4"/>
      <c r="J67" s="4"/>
      <c r="K67" s="4"/>
      <c r="L67" s="4"/>
      <c r="M67" s="4"/>
    </row>
    <row r="68" spans="2:13" x14ac:dyDescent="0.55000000000000004">
      <c r="B68" s="9" t="s">
        <v>318</v>
      </c>
      <c r="C68" s="5" t="s">
        <v>1000</v>
      </c>
      <c r="D68" s="4"/>
      <c r="E68" s="4"/>
      <c r="F68" s="4"/>
      <c r="G68" s="4"/>
      <c r="H68" s="4"/>
      <c r="I68" s="4"/>
      <c r="J68" s="4"/>
      <c r="K68" s="4"/>
      <c r="L68" s="4"/>
      <c r="M68" s="4"/>
    </row>
    <row r="69" spans="2:13" x14ac:dyDescent="0.55000000000000004">
      <c r="B69" s="16"/>
      <c r="C69" s="4" t="s">
        <v>458</v>
      </c>
      <c r="D69" s="4"/>
      <c r="E69" s="4"/>
      <c r="F69" s="4"/>
      <c r="G69" s="4"/>
      <c r="H69" s="4"/>
      <c r="I69" s="4"/>
      <c r="J69" s="4"/>
      <c r="K69" s="4"/>
      <c r="L69" s="4"/>
      <c r="M69" s="4"/>
    </row>
    <row r="70" spans="2:13" x14ac:dyDescent="0.55000000000000004">
      <c r="B70" s="61" t="s">
        <v>308</v>
      </c>
      <c r="C70" s="4" t="s">
        <v>82</v>
      </c>
      <c r="D70" s="4" t="s">
        <v>83</v>
      </c>
      <c r="E70" s="4" t="s">
        <v>84</v>
      </c>
      <c r="F70" s="4" t="s">
        <v>85</v>
      </c>
      <c r="G70" s="4" t="s">
        <v>86</v>
      </c>
      <c r="H70" s="4" t="s">
        <v>87</v>
      </c>
      <c r="I70" s="4" t="s">
        <v>88</v>
      </c>
      <c r="J70" s="4" t="s">
        <v>89</v>
      </c>
      <c r="K70" s="4" t="s">
        <v>93</v>
      </c>
      <c r="L70" s="4" t="s">
        <v>94</v>
      </c>
      <c r="M70" s="4"/>
    </row>
    <row r="71" spans="2:13" x14ac:dyDescent="0.55000000000000004">
      <c r="B71" s="9" t="s">
        <v>310</v>
      </c>
      <c r="C71" s="5" t="s">
        <v>998</v>
      </c>
      <c r="D71" s="4"/>
      <c r="E71" s="4"/>
      <c r="F71" s="4"/>
      <c r="G71" s="4"/>
      <c r="H71" s="4"/>
      <c r="I71" s="4"/>
      <c r="J71" s="4"/>
      <c r="K71" s="4"/>
      <c r="L71" s="4"/>
      <c r="M71" s="4"/>
    </row>
    <row r="72" spans="2:13" x14ac:dyDescent="0.55000000000000004">
      <c r="B72" s="9" t="s">
        <v>309</v>
      </c>
      <c r="C72" s="5" t="s">
        <v>998</v>
      </c>
      <c r="D72" s="4"/>
      <c r="E72" s="4"/>
      <c r="F72" s="4"/>
      <c r="G72" s="4"/>
      <c r="H72" s="4"/>
      <c r="I72" s="4"/>
      <c r="J72" s="4"/>
      <c r="K72" s="4"/>
      <c r="L72" s="4"/>
      <c r="M72" s="4"/>
    </row>
    <row r="73" spans="2:13" x14ac:dyDescent="0.55000000000000004">
      <c r="B73" s="9" t="s">
        <v>311</v>
      </c>
      <c r="C73" s="5" t="s">
        <v>998</v>
      </c>
      <c r="D73" s="4"/>
      <c r="E73" s="4"/>
      <c r="F73" s="4"/>
      <c r="G73" s="4"/>
      <c r="H73" s="4"/>
      <c r="I73" s="4"/>
      <c r="J73" s="4"/>
      <c r="K73" s="4"/>
      <c r="L73" s="4"/>
      <c r="M73" s="4"/>
    </row>
    <row r="74" spans="2:13" x14ac:dyDescent="0.55000000000000004">
      <c r="B74" s="9" t="s">
        <v>312</v>
      </c>
      <c r="C74" s="5" t="s">
        <v>982</v>
      </c>
      <c r="D74" s="4"/>
      <c r="E74" s="4"/>
      <c r="F74" s="4"/>
      <c r="G74" s="4"/>
      <c r="H74" s="4"/>
      <c r="I74" s="4"/>
      <c r="J74" s="4"/>
      <c r="K74" s="4"/>
      <c r="L74" s="4"/>
      <c r="M74" s="4"/>
    </row>
    <row r="75" spans="2:13" x14ac:dyDescent="0.55000000000000004">
      <c r="B75" s="9" t="s">
        <v>313</v>
      </c>
      <c r="C75" s="5" t="s">
        <v>982</v>
      </c>
      <c r="D75" s="4"/>
      <c r="E75" s="4"/>
      <c r="F75" s="4"/>
      <c r="G75" s="4"/>
      <c r="H75" s="4"/>
      <c r="I75" s="4"/>
      <c r="J75" s="4"/>
      <c r="K75" s="4"/>
      <c r="L75" s="4"/>
      <c r="M75" s="4"/>
    </row>
    <row r="76" spans="2:13" x14ac:dyDescent="0.55000000000000004">
      <c r="B76" s="9" t="s">
        <v>314</v>
      </c>
      <c r="C76" s="5" t="s">
        <v>982</v>
      </c>
      <c r="D76" s="4"/>
      <c r="E76" s="4"/>
      <c r="F76" s="4"/>
      <c r="G76" s="4"/>
      <c r="H76" s="4"/>
      <c r="I76" s="4"/>
      <c r="J76" s="4"/>
      <c r="K76" s="4"/>
      <c r="L76" s="4"/>
      <c r="M76" s="4"/>
    </row>
    <row r="77" spans="2:13" x14ac:dyDescent="0.55000000000000004">
      <c r="B77" s="16"/>
      <c r="C77" s="4" t="s">
        <v>458</v>
      </c>
      <c r="D77" s="4"/>
      <c r="E77" s="4"/>
      <c r="F77" s="4"/>
      <c r="G77" s="4"/>
      <c r="H77" s="4"/>
      <c r="I77" s="4"/>
      <c r="J77" s="4"/>
      <c r="K77" s="4"/>
      <c r="L77" s="4"/>
      <c r="M77" s="4"/>
    </row>
    <row r="78" spans="2:13" x14ac:dyDescent="0.55000000000000004">
      <c r="B78" s="61" t="s">
        <v>303</v>
      </c>
      <c r="C78" s="4" t="s">
        <v>82</v>
      </c>
      <c r="D78" s="4" t="s">
        <v>83</v>
      </c>
      <c r="E78" s="4" t="s">
        <v>84</v>
      </c>
      <c r="F78" s="4" t="s">
        <v>85</v>
      </c>
      <c r="G78" s="4" t="s">
        <v>86</v>
      </c>
      <c r="H78" s="4" t="s">
        <v>87</v>
      </c>
      <c r="I78" s="4" t="s">
        <v>88</v>
      </c>
      <c r="J78" s="4" t="s">
        <v>89</v>
      </c>
      <c r="K78" s="4" t="s">
        <v>93</v>
      </c>
      <c r="L78" s="4" t="s">
        <v>94</v>
      </c>
      <c r="M78" s="4"/>
    </row>
    <row r="79" spans="2:13" x14ac:dyDescent="0.55000000000000004">
      <c r="B79" s="9" t="s">
        <v>304</v>
      </c>
      <c r="C79" s="5" t="s">
        <v>998</v>
      </c>
      <c r="D79" s="4"/>
      <c r="E79" s="4"/>
      <c r="F79" s="4"/>
      <c r="G79" s="4"/>
      <c r="H79" s="4"/>
      <c r="I79" s="4"/>
      <c r="J79" s="4"/>
      <c r="K79" s="4"/>
      <c r="L79" s="4"/>
      <c r="M79" s="4"/>
    </row>
    <row r="80" spans="2:13" x14ac:dyDescent="0.55000000000000004">
      <c r="B80" s="9" t="s">
        <v>305</v>
      </c>
      <c r="C80" s="5" t="s">
        <v>998</v>
      </c>
      <c r="D80" s="4"/>
      <c r="E80" s="4"/>
      <c r="F80" s="4"/>
      <c r="G80" s="4"/>
      <c r="H80" s="4"/>
      <c r="I80" s="4"/>
      <c r="J80" s="4"/>
      <c r="K80" s="4"/>
      <c r="L80" s="4"/>
      <c r="M80" s="4"/>
    </row>
    <row r="81" spans="2:13" x14ac:dyDescent="0.55000000000000004">
      <c r="B81" s="9" t="s">
        <v>306</v>
      </c>
      <c r="C81" s="5" t="s">
        <v>998</v>
      </c>
      <c r="D81" s="4"/>
      <c r="E81" s="4"/>
      <c r="F81" s="4"/>
      <c r="G81" s="4"/>
      <c r="H81" s="4"/>
      <c r="I81" s="4"/>
      <c r="J81" s="4"/>
      <c r="K81" s="4"/>
      <c r="L81" s="4"/>
      <c r="M81" s="4"/>
    </row>
    <row r="82" spans="2:13" x14ac:dyDescent="0.55000000000000004">
      <c r="B82" s="9" t="s">
        <v>307</v>
      </c>
      <c r="C82" s="5" t="s">
        <v>998</v>
      </c>
      <c r="D82" s="4"/>
      <c r="E82" s="4"/>
      <c r="F82" s="4"/>
      <c r="G82" s="4"/>
      <c r="H82" s="4"/>
      <c r="I82" s="4"/>
      <c r="J82" s="4"/>
      <c r="K82" s="4"/>
      <c r="L82" s="4"/>
      <c r="M82" s="4"/>
    </row>
    <row r="83" spans="2:13" x14ac:dyDescent="0.55000000000000004">
      <c r="B83" s="16"/>
      <c r="C83" s="4" t="s">
        <v>458</v>
      </c>
      <c r="D83" s="4"/>
      <c r="E83" s="4"/>
      <c r="F83" s="4"/>
      <c r="G83" s="4"/>
      <c r="H83" s="4"/>
      <c r="I83" s="4"/>
      <c r="J83" s="4"/>
      <c r="K83" s="4"/>
      <c r="L83" s="4"/>
      <c r="M83" s="4"/>
    </row>
    <row r="84" spans="2:13" x14ac:dyDescent="0.55000000000000004">
      <c r="B84" s="61" t="s">
        <v>299</v>
      </c>
      <c r="C84" s="4" t="s">
        <v>23</v>
      </c>
      <c r="D84" s="4" t="s">
        <v>76</v>
      </c>
      <c r="E84" s="4" t="s">
        <v>77</v>
      </c>
      <c r="F84" s="4" t="s">
        <v>78</v>
      </c>
      <c r="G84" s="4" t="s">
        <v>79</v>
      </c>
      <c r="H84" s="4" t="s">
        <v>80</v>
      </c>
      <c r="I84" s="4" t="s">
        <v>81</v>
      </c>
      <c r="J84" s="4" t="s">
        <v>90</v>
      </c>
      <c r="K84" s="4" t="s">
        <v>91</v>
      </c>
      <c r="L84" s="4" t="s">
        <v>92</v>
      </c>
      <c r="M84" s="4"/>
    </row>
    <row r="85" spans="2:13" x14ac:dyDescent="0.55000000000000004">
      <c r="B85" s="9" t="s">
        <v>300</v>
      </c>
      <c r="C85" s="5" t="s">
        <v>998</v>
      </c>
      <c r="D85" s="4"/>
      <c r="E85" s="4"/>
      <c r="F85" s="4"/>
      <c r="G85" s="4"/>
      <c r="H85" s="4"/>
      <c r="I85" s="4"/>
      <c r="J85" s="4"/>
      <c r="K85" s="4"/>
      <c r="L85" s="4"/>
      <c r="M85" s="4"/>
    </row>
    <row r="86" spans="2:13" x14ac:dyDescent="0.55000000000000004">
      <c r="B86" s="9" t="s">
        <v>301</v>
      </c>
      <c r="C86" s="5" t="s">
        <v>998</v>
      </c>
      <c r="D86" s="4"/>
      <c r="E86" s="4"/>
      <c r="F86" s="4"/>
      <c r="G86" s="4"/>
      <c r="H86" s="4"/>
      <c r="I86" s="4"/>
      <c r="J86" s="4"/>
      <c r="K86" s="4"/>
      <c r="L86" s="4"/>
      <c r="M86" s="4"/>
    </row>
    <row r="87" spans="2:13" x14ac:dyDescent="0.55000000000000004">
      <c r="B87" s="9" t="s">
        <v>302</v>
      </c>
      <c r="C87" s="5" t="s">
        <v>998</v>
      </c>
      <c r="D87" s="4"/>
      <c r="E87" s="4"/>
      <c r="F87" s="4"/>
      <c r="G87" s="4"/>
      <c r="H87" s="4"/>
      <c r="I87" s="4"/>
      <c r="J87" s="4"/>
      <c r="K87" s="4"/>
      <c r="L87" s="4"/>
      <c r="M87" s="4"/>
    </row>
    <row r="88" spans="2:13" x14ac:dyDescent="0.55000000000000004">
      <c r="B88" s="16"/>
      <c r="C88" s="4" t="s">
        <v>458</v>
      </c>
      <c r="D88" s="4"/>
      <c r="E88" s="4"/>
      <c r="F88" s="4"/>
      <c r="G88" s="4"/>
      <c r="H88" s="4"/>
      <c r="I88" s="4"/>
      <c r="J88" s="4"/>
      <c r="K88" s="4"/>
      <c r="L88" s="4"/>
      <c r="M88" s="4"/>
    </row>
    <row r="89" spans="2:13" x14ac:dyDescent="0.55000000000000004">
      <c r="B89" s="61" t="s">
        <v>298</v>
      </c>
      <c r="C89" s="4" t="s">
        <v>82</v>
      </c>
      <c r="D89" s="4" t="s">
        <v>83</v>
      </c>
      <c r="E89" s="4" t="s">
        <v>84</v>
      </c>
      <c r="F89" s="4" t="s">
        <v>85</v>
      </c>
      <c r="G89" s="4" t="s">
        <v>86</v>
      </c>
      <c r="H89" s="4" t="s">
        <v>87</v>
      </c>
      <c r="I89" s="4" t="s">
        <v>88</v>
      </c>
      <c r="J89" s="4" t="s">
        <v>89</v>
      </c>
      <c r="K89" s="4" t="s">
        <v>93</v>
      </c>
      <c r="L89" s="4" t="s">
        <v>94</v>
      </c>
      <c r="M89" s="4"/>
    </row>
    <row r="90" spans="2:13" x14ac:dyDescent="0.55000000000000004">
      <c r="B90" s="9" t="s">
        <v>324</v>
      </c>
      <c r="C90" s="5" t="s">
        <v>1001</v>
      </c>
      <c r="D90" s="4"/>
      <c r="E90" s="4"/>
      <c r="F90" s="4"/>
      <c r="G90" s="4"/>
      <c r="H90" s="4"/>
      <c r="I90" s="4"/>
      <c r="J90" s="4"/>
      <c r="K90" s="4"/>
      <c r="L90" s="4"/>
      <c r="M90" s="4"/>
    </row>
    <row r="91" spans="2:13" x14ac:dyDescent="0.55000000000000004">
      <c r="B91" s="9" t="s">
        <v>892</v>
      </c>
      <c r="C91" s="5" t="s">
        <v>982</v>
      </c>
      <c r="D91" s="4"/>
      <c r="E91" s="4"/>
      <c r="F91" s="4"/>
      <c r="G91" s="4"/>
      <c r="H91" s="4"/>
      <c r="I91" s="4"/>
      <c r="J91" s="4"/>
      <c r="K91" s="4"/>
      <c r="L91" s="4"/>
      <c r="M91" s="4"/>
    </row>
    <row r="92" spans="2:13" x14ac:dyDescent="0.55000000000000004">
      <c r="B92" s="9" t="s">
        <v>893</v>
      </c>
      <c r="C92" s="5" t="s">
        <v>982</v>
      </c>
      <c r="D92" s="4"/>
      <c r="E92" s="4"/>
      <c r="F92" s="4"/>
      <c r="G92" s="4"/>
      <c r="H92" s="4"/>
      <c r="I92" s="4"/>
      <c r="J92" s="4"/>
      <c r="K92" s="4"/>
      <c r="L92" s="4"/>
      <c r="M92" s="4"/>
    </row>
    <row r="93" spans="2:13" x14ac:dyDescent="0.55000000000000004">
      <c r="B93" s="9" t="s">
        <v>1209</v>
      </c>
      <c r="C93" s="5" t="s">
        <v>998</v>
      </c>
      <c r="D93" s="4"/>
      <c r="E93" s="4"/>
      <c r="F93" s="4"/>
      <c r="G93" s="4"/>
      <c r="H93" s="4"/>
      <c r="I93" s="4"/>
      <c r="J93" s="4"/>
      <c r="K93" s="4"/>
      <c r="L93" s="4"/>
      <c r="M93" s="4"/>
    </row>
    <row r="94" spans="2:13" x14ac:dyDescent="0.55000000000000004">
      <c r="B94" s="9" t="s">
        <v>319</v>
      </c>
      <c r="C94" s="5" t="s">
        <v>982</v>
      </c>
      <c r="D94" s="4"/>
      <c r="E94" s="4"/>
      <c r="F94" s="4"/>
      <c r="G94" s="4"/>
      <c r="H94" s="4"/>
      <c r="I94" s="4"/>
      <c r="J94" s="4"/>
      <c r="K94" s="4"/>
      <c r="L94" s="4"/>
      <c r="M94" s="4"/>
    </row>
    <row r="95" spans="2:13" x14ac:dyDescent="0.55000000000000004">
      <c r="B95" s="9" t="s">
        <v>320</v>
      </c>
      <c r="C95" s="5">
        <v>9.1999999999999993</v>
      </c>
      <c r="D95" s="4"/>
      <c r="E95" s="4"/>
      <c r="F95" s="4"/>
      <c r="G95" s="4"/>
      <c r="H95" s="4"/>
      <c r="I95" s="4"/>
      <c r="J95" s="4"/>
      <c r="K95" s="4"/>
      <c r="L95" s="4"/>
      <c r="M95" s="4"/>
    </row>
    <row r="96" spans="2:13" x14ac:dyDescent="0.55000000000000004">
      <c r="B96" s="9" t="s">
        <v>321</v>
      </c>
      <c r="C96" s="5">
        <v>0.46</v>
      </c>
      <c r="D96" s="4"/>
      <c r="E96" s="4"/>
      <c r="F96" s="4"/>
      <c r="G96" s="4"/>
      <c r="H96" s="4"/>
      <c r="I96" s="4"/>
      <c r="J96" s="4"/>
      <c r="K96" s="4"/>
      <c r="L96" s="4"/>
      <c r="M96" s="4"/>
    </row>
    <row r="97" spans="2:13" x14ac:dyDescent="0.55000000000000004">
      <c r="B97" s="9" t="s">
        <v>322</v>
      </c>
      <c r="C97" s="5">
        <v>2</v>
      </c>
      <c r="D97" s="4"/>
      <c r="E97" s="4"/>
      <c r="F97" s="4"/>
      <c r="G97" s="4"/>
      <c r="H97" s="4"/>
      <c r="I97" s="4"/>
      <c r="J97" s="4"/>
      <c r="K97" s="4"/>
      <c r="L97" s="4"/>
      <c r="M97" s="4"/>
    </row>
    <row r="98" spans="2:13" x14ac:dyDescent="0.55000000000000004">
      <c r="B98" s="9" t="s">
        <v>323</v>
      </c>
      <c r="C98" s="5">
        <v>2</v>
      </c>
      <c r="D98" s="4"/>
      <c r="E98" s="4"/>
      <c r="F98" s="4"/>
      <c r="G98" s="4"/>
      <c r="H98" s="4"/>
      <c r="I98" s="4"/>
      <c r="J98" s="4"/>
      <c r="K98" s="4"/>
      <c r="L98" s="4"/>
      <c r="M98" s="4"/>
    </row>
    <row r="99" spans="2:13" x14ac:dyDescent="0.55000000000000004">
      <c r="B99" s="16"/>
      <c r="C99" s="4" t="s">
        <v>458</v>
      </c>
      <c r="D99" s="4"/>
      <c r="E99" s="4"/>
      <c r="F99" s="4"/>
      <c r="G99" s="4"/>
      <c r="H99" s="4"/>
      <c r="I99" s="4"/>
      <c r="J99" s="4"/>
      <c r="K99" s="4"/>
      <c r="L99" s="4"/>
      <c r="M99" s="4"/>
    </row>
    <row r="100" spans="2:13" x14ac:dyDescent="0.55000000000000004">
      <c r="B100" s="9" t="s">
        <v>295</v>
      </c>
      <c r="C100" s="4" t="s">
        <v>82</v>
      </c>
      <c r="D100" s="4" t="s">
        <v>83</v>
      </c>
      <c r="E100" s="4" t="s">
        <v>84</v>
      </c>
      <c r="F100" s="4" t="s">
        <v>85</v>
      </c>
      <c r="G100" s="4" t="s">
        <v>86</v>
      </c>
      <c r="H100" s="4" t="s">
        <v>87</v>
      </c>
      <c r="I100" s="4" t="s">
        <v>88</v>
      </c>
      <c r="J100" s="4" t="s">
        <v>89</v>
      </c>
      <c r="K100" s="4" t="s">
        <v>93</v>
      </c>
      <c r="L100" s="4" t="s">
        <v>94</v>
      </c>
      <c r="M100" s="4"/>
    </row>
    <row r="101" spans="2:13" x14ac:dyDescent="0.55000000000000004">
      <c r="B101" s="9" t="s">
        <v>2462</v>
      </c>
      <c r="C101" s="5" t="s">
        <v>982</v>
      </c>
      <c r="D101" s="4"/>
      <c r="E101" s="4"/>
      <c r="F101" s="4"/>
      <c r="G101" s="4"/>
      <c r="H101" s="4"/>
      <c r="I101" s="4"/>
      <c r="J101" s="4"/>
      <c r="K101" s="4"/>
      <c r="L101" s="4"/>
      <c r="M101" s="4"/>
    </row>
    <row r="102" spans="2:13" x14ac:dyDescent="0.55000000000000004">
      <c r="B102" s="9" t="s">
        <v>288</v>
      </c>
      <c r="C102" s="5" t="s">
        <v>2248</v>
      </c>
      <c r="D102" s="4"/>
      <c r="E102" s="4"/>
      <c r="F102" s="4"/>
      <c r="G102" s="4"/>
      <c r="H102" s="4"/>
      <c r="I102" s="4"/>
      <c r="J102" s="4"/>
      <c r="K102" s="4"/>
      <c r="L102" s="4"/>
      <c r="M102" s="4"/>
    </row>
    <row r="103" spans="2:13" x14ac:dyDescent="0.55000000000000004">
      <c r="B103" s="9" t="s">
        <v>289</v>
      </c>
      <c r="C103" s="5">
        <v>0.25</v>
      </c>
      <c r="D103" s="4"/>
      <c r="E103" s="4"/>
      <c r="F103" s="4"/>
      <c r="G103" s="4"/>
      <c r="H103" s="4"/>
      <c r="I103" s="4"/>
      <c r="J103" s="4"/>
      <c r="K103" s="4"/>
      <c r="L103" s="4"/>
      <c r="M103" s="4"/>
    </row>
    <row r="104" spans="2:13" x14ac:dyDescent="0.55000000000000004">
      <c r="B104" s="9" t="s">
        <v>290</v>
      </c>
      <c r="C104" s="5">
        <v>10</v>
      </c>
      <c r="D104" s="4"/>
      <c r="E104" s="4"/>
      <c r="F104" s="4"/>
      <c r="G104" s="4"/>
      <c r="H104" s="4"/>
      <c r="I104" s="4"/>
      <c r="J104" s="4"/>
      <c r="K104" s="4"/>
      <c r="L104" s="4"/>
      <c r="M104" s="4"/>
    </row>
    <row r="105" spans="2:13" x14ac:dyDescent="0.55000000000000004">
      <c r="B105" s="9" t="s">
        <v>291</v>
      </c>
      <c r="C105" s="5">
        <v>0.6</v>
      </c>
      <c r="D105" s="4"/>
      <c r="E105" s="4"/>
      <c r="F105" s="4"/>
      <c r="G105" s="4"/>
      <c r="H105" s="4"/>
      <c r="I105" s="4"/>
      <c r="J105" s="4"/>
      <c r="K105" s="4"/>
      <c r="L105" s="4"/>
      <c r="M105" s="4"/>
    </row>
    <row r="106" spans="2:13" x14ac:dyDescent="0.55000000000000004">
      <c r="B106" s="9" t="s">
        <v>292</v>
      </c>
      <c r="C106" s="5">
        <v>7.0000000000000007E-2</v>
      </c>
      <c r="D106" s="4"/>
      <c r="E106" s="4"/>
      <c r="F106" s="4"/>
      <c r="G106" s="4"/>
      <c r="H106" s="4"/>
      <c r="I106" s="4"/>
      <c r="J106" s="4"/>
      <c r="K106" s="4"/>
      <c r="L106" s="4"/>
      <c r="M106" s="4"/>
    </row>
    <row r="107" spans="2:13" x14ac:dyDescent="0.55000000000000004">
      <c r="B107" s="9" t="s">
        <v>293</v>
      </c>
      <c r="C107" s="5">
        <v>0.05</v>
      </c>
      <c r="D107" s="4"/>
      <c r="E107" s="4"/>
      <c r="F107" s="4"/>
      <c r="G107" s="4"/>
      <c r="H107" s="4"/>
      <c r="I107" s="4"/>
      <c r="J107" s="4"/>
      <c r="K107" s="4"/>
      <c r="L107" s="4"/>
      <c r="M107" s="4"/>
    </row>
    <row r="108" spans="2:13" x14ac:dyDescent="0.55000000000000004">
      <c r="B108" s="9" t="s">
        <v>294</v>
      </c>
      <c r="C108" s="5">
        <v>3</v>
      </c>
      <c r="D108" s="4"/>
      <c r="E108" s="4"/>
      <c r="F108" s="4"/>
      <c r="G108" s="4"/>
      <c r="H108" s="4"/>
      <c r="I108" s="4"/>
      <c r="J108" s="4"/>
      <c r="K108" s="4"/>
      <c r="L108" s="4"/>
      <c r="M108" s="4"/>
    </row>
    <row r="109" spans="2:13" x14ac:dyDescent="0.55000000000000004">
      <c r="B109" s="16"/>
      <c r="C109" s="4" t="s">
        <v>458</v>
      </c>
      <c r="D109" s="4"/>
      <c r="E109" s="4"/>
      <c r="F109" s="4"/>
      <c r="G109" s="4"/>
      <c r="H109" s="4"/>
      <c r="I109" s="4"/>
      <c r="J109" s="4"/>
      <c r="K109" s="4"/>
      <c r="L109" s="4"/>
      <c r="M109" s="4"/>
    </row>
    <row r="110" spans="2:13" x14ac:dyDescent="0.55000000000000004">
      <c r="B110" s="61" t="s">
        <v>296</v>
      </c>
      <c r="C110" s="4" t="s">
        <v>82</v>
      </c>
      <c r="D110" s="4" t="s">
        <v>83</v>
      </c>
      <c r="E110" s="4" t="s">
        <v>84</v>
      </c>
      <c r="F110" s="4" t="s">
        <v>85</v>
      </c>
      <c r="G110" s="4" t="s">
        <v>86</v>
      </c>
      <c r="H110" s="4" t="s">
        <v>87</v>
      </c>
      <c r="I110" s="4" t="s">
        <v>88</v>
      </c>
      <c r="J110" s="4" t="s">
        <v>89</v>
      </c>
      <c r="K110" s="4" t="s">
        <v>93</v>
      </c>
      <c r="L110" s="4" t="s">
        <v>94</v>
      </c>
      <c r="M110" s="4"/>
    </row>
    <row r="111" spans="2:13" x14ac:dyDescent="0.55000000000000004">
      <c r="B111" s="9" t="s">
        <v>287</v>
      </c>
      <c r="C111" s="5" t="s">
        <v>1201</v>
      </c>
      <c r="D111" s="4"/>
      <c r="E111" s="4"/>
      <c r="F111" s="4"/>
      <c r="G111" s="4"/>
      <c r="H111" s="4"/>
      <c r="I111" s="4"/>
      <c r="J111" s="4"/>
      <c r="K111" s="4"/>
      <c r="L111" s="4"/>
      <c r="M111" s="4"/>
    </row>
    <row r="112" spans="2:13" x14ac:dyDescent="0.55000000000000004">
      <c r="B112" s="9" t="s">
        <v>1210</v>
      </c>
      <c r="C112" s="5">
        <v>0.55000000000000004</v>
      </c>
      <c r="D112" s="4"/>
      <c r="E112" s="4"/>
      <c r="F112" s="4"/>
      <c r="G112" s="4"/>
      <c r="H112" s="4"/>
      <c r="I112" s="4"/>
      <c r="J112" s="4"/>
      <c r="K112" s="4"/>
      <c r="L112" s="4"/>
      <c r="M112" s="4"/>
    </row>
    <row r="113" spans="2:13" x14ac:dyDescent="0.55000000000000004">
      <c r="B113" s="16"/>
      <c r="C113" s="4" t="s">
        <v>458</v>
      </c>
      <c r="D113" s="4"/>
      <c r="E113" s="4"/>
      <c r="F113" s="4"/>
      <c r="G113" s="4"/>
      <c r="H113" s="4"/>
      <c r="I113" s="4"/>
      <c r="J113" s="4"/>
      <c r="K113" s="4"/>
      <c r="L113" s="4"/>
      <c r="M113" s="4"/>
    </row>
    <row r="114" spans="2:13" x14ac:dyDescent="0.55000000000000004">
      <c r="B114" s="61" t="s">
        <v>297</v>
      </c>
      <c r="C114" s="4" t="s">
        <v>82</v>
      </c>
      <c r="D114" s="4" t="s">
        <v>83</v>
      </c>
      <c r="E114" s="4" t="s">
        <v>84</v>
      </c>
      <c r="F114" s="4" t="s">
        <v>85</v>
      </c>
      <c r="G114" s="4" t="s">
        <v>86</v>
      </c>
      <c r="H114" s="4" t="s">
        <v>87</v>
      </c>
      <c r="I114" s="4" t="s">
        <v>88</v>
      </c>
      <c r="J114" s="4" t="s">
        <v>89</v>
      </c>
      <c r="K114" s="4" t="s">
        <v>93</v>
      </c>
      <c r="L114" s="4" t="s">
        <v>94</v>
      </c>
      <c r="M114" s="4"/>
    </row>
    <row r="115" spans="2:13" x14ac:dyDescent="0.55000000000000004">
      <c r="B115" s="9" t="s">
        <v>239</v>
      </c>
      <c r="C115" s="5">
        <v>1</v>
      </c>
      <c r="D115" s="4"/>
      <c r="E115" s="4"/>
      <c r="F115" s="4"/>
      <c r="G115" s="4"/>
      <c r="H115" s="4"/>
      <c r="I115" s="4"/>
      <c r="J115" s="4"/>
      <c r="K115" s="4"/>
      <c r="L115" s="4"/>
      <c r="M115" s="4"/>
    </row>
    <row r="116" spans="2:13" x14ac:dyDescent="0.55000000000000004">
      <c r="B116" s="9" t="s">
        <v>240</v>
      </c>
      <c r="C116" s="5">
        <v>1</v>
      </c>
      <c r="D116" s="4"/>
      <c r="E116" s="4"/>
      <c r="F116" s="4"/>
      <c r="G116" s="4"/>
      <c r="H116" s="4"/>
      <c r="I116" s="4"/>
      <c r="J116" s="4"/>
      <c r="K116" s="4"/>
      <c r="L116" s="4"/>
      <c r="M116" s="4"/>
    </row>
    <row r="117" spans="2:13" x14ac:dyDescent="0.55000000000000004">
      <c r="B117" s="9" t="s">
        <v>1211</v>
      </c>
      <c r="C117" s="5">
        <v>0.3</v>
      </c>
      <c r="D117" s="4"/>
      <c r="E117" s="4"/>
      <c r="F117" s="4"/>
      <c r="G117" s="4"/>
      <c r="H117" s="4"/>
      <c r="I117" s="4"/>
      <c r="J117" s="4"/>
      <c r="K117" s="4"/>
      <c r="L117" s="4"/>
      <c r="M117" s="4"/>
    </row>
    <row r="118" spans="2:13" x14ac:dyDescent="0.55000000000000004">
      <c r="B118" s="9" t="s">
        <v>1212</v>
      </c>
      <c r="C118" s="5">
        <v>11.5</v>
      </c>
      <c r="D118" s="4"/>
      <c r="E118" s="4"/>
      <c r="F118" s="4"/>
      <c r="G118" s="4"/>
      <c r="H118" s="4"/>
      <c r="I118" s="4"/>
      <c r="J118" s="4"/>
      <c r="K118" s="4"/>
      <c r="L118" s="4"/>
      <c r="M118" s="4"/>
    </row>
    <row r="119" spans="2:13" x14ac:dyDescent="0.55000000000000004">
      <c r="B119" s="9" t="s">
        <v>241</v>
      </c>
      <c r="C119" s="5">
        <v>0.01</v>
      </c>
      <c r="D119" s="4"/>
      <c r="E119" s="4"/>
      <c r="F119" s="4"/>
      <c r="G119" s="4"/>
      <c r="H119" s="4"/>
      <c r="I119" s="4"/>
      <c r="J119" s="4"/>
      <c r="K119" s="4"/>
      <c r="L119" s="4"/>
      <c r="M119" s="4"/>
    </row>
    <row r="120" spans="2:13" x14ac:dyDescent="0.55000000000000004">
      <c r="B120" s="9" t="s">
        <v>891</v>
      </c>
      <c r="C120" s="5">
        <v>1</v>
      </c>
      <c r="D120" s="4"/>
      <c r="E120" s="4"/>
      <c r="F120" s="4"/>
      <c r="G120" s="4"/>
      <c r="H120" s="4"/>
      <c r="I120" s="4"/>
      <c r="J120" s="4"/>
      <c r="K120" s="4"/>
      <c r="L120" s="4"/>
      <c r="M120" s="4"/>
    </row>
    <row r="121" spans="2:13" x14ac:dyDescent="0.55000000000000004">
      <c r="B121" s="9" t="s">
        <v>890</v>
      </c>
      <c r="C121" s="5" t="s">
        <v>2249</v>
      </c>
      <c r="D121" s="4"/>
      <c r="E121" s="4"/>
      <c r="F121" s="4"/>
      <c r="G121" s="4"/>
      <c r="H121" s="4"/>
      <c r="I121" s="4"/>
      <c r="J121" s="4"/>
      <c r="K121" s="4"/>
      <c r="L121" s="4"/>
      <c r="M121" s="4"/>
    </row>
    <row r="122" spans="2:13" x14ac:dyDescent="0.55000000000000004">
      <c r="B122" s="9" t="s">
        <v>889</v>
      </c>
      <c r="C122" s="5">
        <v>1E-3</v>
      </c>
      <c r="D122" s="4"/>
      <c r="E122" s="4"/>
      <c r="F122" s="4"/>
      <c r="G122" s="4"/>
      <c r="H122" s="4"/>
      <c r="I122" s="4"/>
      <c r="J122" s="4"/>
      <c r="K122" s="4"/>
      <c r="L122" s="4"/>
      <c r="M122" s="4"/>
    </row>
    <row r="123" spans="2:13" x14ac:dyDescent="0.55000000000000004">
      <c r="B123" s="16"/>
      <c r="C123" s="4" t="s">
        <v>458</v>
      </c>
      <c r="D123" s="4"/>
      <c r="E123" s="4"/>
      <c r="F123" s="4"/>
      <c r="G123" s="4"/>
      <c r="H123" s="4"/>
      <c r="I123" s="4"/>
      <c r="J123" s="4"/>
      <c r="K123" s="4"/>
      <c r="L123" s="4"/>
      <c r="M123" s="4"/>
    </row>
    <row r="124" spans="2:13" x14ac:dyDescent="0.55000000000000004">
      <c r="B124" s="61" t="s">
        <v>238</v>
      </c>
      <c r="C124" s="4" t="s">
        <v>82</v>
      </c>
      <c r="D124" s="4" t="s">
        <v>83</v>
      </c>
      <c r="E124" s="4" t="s">
        <v>84</v>
      </c>
      <c r="F124" s="4" t="s">
        <v>85</v>
      </c>
      <c r="G124" s="4" t="s">
        <v>86</v>
      </c>
      <c r="H124" s="4" t="s">
        <v>87</v>
      </c>
      <c r="I124" s="4" t="s">
        <v>88</v>
      </c>
      <c r="J124" s="4" t="s">
        <v>89</v>
      </c>
      <c r="K124" s="4" t="s">
        <v>93</v>
      </c>
      <c r="L124" s="4" t="s">
        <v>94</v>
      </c>
      <c r="M124" s="4"/>
    </row>
    <row r="125" spans="2:13" x14ac:dyDescent="0.55000000000000004">
      <c r="B125" s="9" t="s">
        <v>883</v>
      </c>
      <c r="C125" s="5" t="s">
        <v>1002</v>
      </c>
      <c r="D125" s="4"/>
      <c r="E125" s="4"/>
      <c r="F125" s="4"/>
      <c r="G125" s="4"/>
      <c r="H125" s="4"/>
      <c r="I125" s="4"/>
      <c r="J125" s="4"/>
      <c r="K125" s="4"/>
      <c r="L125" s="4"/>
      <c r="M125" s="4"/>
    </row>
    <row r="126" spans="2:13" x14ac:dyDescent="0.55000000000000004">
      <c r="B126" s="9" t="s">
        <v>882</v>
      </c>
      <c r="C126" s="5" t="s">
        <v>1003</v>
      </c>
      <c r="D126" s="4"/>
      <c r="E126" s="4"/>
      <c r="F126" s="4"/>
      <c r="G126" s="4"/>
      <c r="H126" s="4"/>
      <c r="I126" s="4"/>
      <c r="J126" s="4"/>
      <c r="K126" s="4"/>
      <c r="L126" s="4"/>
      <c r="M126" s="4"/>
    </row>
    <row r="127" spans="2:13" x14ac:dyDescent="0.55000000000000004">
      <c r="B127" s="9" t="s">
        <v>881</v>
      </c>
      <c r="C127" s="5">
        <v>1</v>
      </c>
      <c r="D127" s="4"/>
      <c r="E127" s="4"/>
      <c r="F127" s="4"/>
      <c r="G127" s="4"/>
      <c r="H127" s="4"/>
      <c r="I127" s="4"/>
      <c r="J127" s="4"/>
      <c r="K127" s="4"/>
      <c r="L127" s="4"/>
      <c r="M127" s="4"/>
    </row>
    <row r="128" spans="2:13" x14ac:dyDescent="0.55000000000000004">
      <c r="B128" s="9" t="s">
        <v>1213</v>
      </c>
      <c r="C128" s="5">
        <v>3</v>
      </c>
      <c r="D128" s="4"/>
      <c r="E128" s="4"/>
      <c r="F128" s="4"/>
      <c r="G128" s="4"/>
      <c r="H128" s="4"/>
      <c r="I128" s="4"/>
      <c r="J128" s="4"/>
      <c r="K128" s="4"/>
      <c r="L128" s="4"/>
      <c r="M128" s="4"/>
    </row>
    <row r="129" spans="1:13" x14ac:dyDescent="0.55000000000000004">
      <c r="B129" s="9" t="s">
        <v>884</v>
      </c>
      <c r="C129" s="5">
        <v>9.5350000000000001</v>
      </c>
      <c r="D129" s="4"/>
      <c r="E129" s="4"/>
      <c r="F129" s="4"/>
      <c r="G129" s="4"/>
      <c r="H129" s="4"/>
      <c r="I129" s="4"/>
      <c r="J129" s="4"/>
      <c r="K129" s="4"/>
      <c r="L129" s="4"/>
      <c r="M129" s="4"/>
    </row>
    <row r="130" spans="1:13" x14ac:dyDescent="0.55000000000000004">
      <c r="B130" s="9" t="s">
        <v>885</v>
      </c>
      <c r="C130" s="5">
        <v>0.43</v>
      </c>
      <c r="D130" s="4"/>
      <c r="E130" s="4"/>
      <c r="F130" s="4"/>
      <c r="G130" s="4"/>
      <c r="H130" s="4"/>
      <c r="I130" s="4"/>
      <c r="J130" s="4"/>
      <c r="K130" s="4"/>
      <c r="L130" s="4"/>
      <c r="M130" s="4"/>
    </row>
    <row r="131" spans="1:13" x14ac:dyDescent="0.55000000000000004">
      <c r="B131" s="9" t="s">
        <v>886</v>
      </c>
      <c r="C131" s="5">
        <v>24</v>
      </c>
      <c r="D131" s="4"/>
      <c r="E131" s="4"/>
      <c r="F131" s="4"/>
      <c r="G131" s="4"/>
      <c r="H131" s="4"/>
      <c r="I131" s="4"/>
      <c r="J131" s="4"/>
      <c r="K131" s="4"/>
      <c r="L131" s="4"/>
      <c r="M131" s="4"/>
    </row>
    <row r="132" spans="1:13" x14ac:dyDescent="0.55000000000000004">
      <c r="B132" s="9" t="s">
        <v>887</v>
      </c>
      <c r="C132" s="5">
        <v>10</v>
      </c>
      <c r="D132" s="4"/>
      <c r="E132" s="4"/>
      <c r="F132" s="4"/>
      <c r="G132" s="4"/>
      <c r="H132" s="4"/>
      <c r="I132" s="4"/>
      <c r="J132" s="4"/>
      <c r="K132" s="4"/>
      <c r="L132" s="4"/>
      <c r="M132" s="4"/>
    </row>
    <row r="133" spans="1:13" x14ac:dyDescent="0.55000000000000004">
      <c r="B133" s="9" t="s">
        <v>888</v>
      </c>
      <c r="C133" s="5" t="s">
        <v>1003</v>
      </c>
      <c r="D133" s="4"/>
      <c r="E133" s="4"/>
      <c r="F133" s="4"/>
      <c r="G133" s="4"/>
      <c r="H133" s="4"/>
      <c r="I133" s="4"/>
      <c r="J133" s="4"/>
      <c r="K133" s="4"/>
      <c r="L133" s="4"/>
      <c r="M133" s="4"/>
    </row>
    <row r="134" spans="1:13" x14ac:dyDescent="0.55000000000000004">
      <c r="B134" s="16"/>
      <c r="C134" s="4" t="s">
        <v>458</v>
      </c>
      <c r="D134" s="4"/>
      <c r="E134" s="4"/>
      <c r="F134" s="4"/>
      <c r="G134" s="4"/>
      <c r="H134" s="4"/>
      <c r="I134" s="4"/>
      <c r="J134" s="4"/>
      <c r="K134" s="4"/>
      <c r="L134" s="4"/>
      <c r="M134" s="4"/>
    </row>
    <row r="135" spans="1:13" x14ac:dyDescent="0.55000000000000004">
      <c r="B135" s="61" t="s">
        <v>880</v>
      </c>
      <c r="C135" s="4" t="s">
        <v>23</v>
      </c>
      <c r="D135" s="4" t="s">
        <v>76</v>
      </c>
      <c r="E135" s="4" t="s">
        <v>77</v>
      </c>
      <c r="F135" s="4" t="s">
        <v>78</v>
      </c>
      <c r="G135" s="4" t="s">
        <v>79</v>
      </c>
      <c r="H135" s="4" t="s">
        <v>80</v>
      </c>
      <c r="I135" s="4" t="s">
        <v>81</v>
      </c>
      <c r="J135" s="4" t="s">
        <v>90</v>
      </c>
      <c r="K135" s="4" t="s">
        <v>91</v>
      </c>
      <c r="L135" s="4" t="s">
        <v>92</v>
      </c>
      <c r="M135" s="4"/>
    </row>
    <row r="136" spans="1:13" x14ac:dyDescent="0.55000000000000004">
      <c r="A136" s="24" t="s">
        <v>1556</v>
      </c>
      <c r="B136" s="9" t="s">
        <v>879</v>
      </c>
      <c r="C136" s="5">
        <v>1</v>
      </c>
      <c r="D136" s="4"/>
      <c r="E136" s="4"/>
      <c r="F136" s="4"/>
      <c r="G136" s="4"/>
      <c r="H136" s="4"/>
      <c r="I136" s="4"/>
      <c r="J136" s="4"/>
      <c r="K136" s="4"/>
      <c r="L136" s="4"/>
      <c r="M136" s="4"/>
    </row>
    <row r="137" spans="1:13" x14ac:dyDescent="0.55000000000000004">
      <c r="A137" s="24" t="s">
        <v>911</v>
      </c>
      <c r="B137" s="9" t="s">
        <v>1555</v>
      </c>
      <c r="C137" s="5" t="s">
        <v>982</v>
      </c>
      <c r="D137" s="4"/>
      <c r="E137" s="4"/>
      <c r="F137" s="4"/>
      <c r="G137" s="4"/>
      <c r="H137" s="4"/>
      <c r="I137" s="4"/>
      <c r="J137" s="4"/>
      <c r="K137" s="4"/>
      <c r="L137" s="4"/>
      <c r="M137" s="4"/>
    </row>
    <row r="138" spans="1:13" x14ac:dyDescent="0.55000000000000004">
      <c r="A138" s="24" t="s">
        <v>912</v>
      </c>
      <c r="B138" s="9" t="s">
        <v>874</v>
      </c>
      <c r="C138" s="5" t="s">
        <v>982</v>
      </c>
      <c r="D138" s="4"/>
      <c r="E138" s="4"/>
      <c r="F138" s="4"/>
      <c r="G138" s="4"/>
      <c r="H138" s="4"/>
      <c r="I138" s="4"/>
      <c r="J138" s="4"/>
      <c r="K138" s="4"/>
      <c r="L138" s="4"/>
      <c r="M138" s="4"/>
    </row>
    <row r="139" spans="1:13" x14ac:dyDescent="0.55000000000000004">
      <c r="B139" s="9" t="s">
        <v>875</v>
      </c>
      <c r="C139" s="5" t="s">
        <v>458</v>
      </c>
      <c r="D139" s="4"/>
      <c r="E139" s="4"/>
      <c r="F139" s="4"/>
      <c r="G139" s="4"/>
      <c r="H139" s="4"/>
      <c r="I139" s="4"/>
      <c r="J139" s="4"/>
      <c r="K139" s="4"/>
      <c r="L139" s="4"/>
      <c r="M139" s="4"/>
    </row>
    <row r="140" spans="1:13" x14ac:dyDescent="0.55000000000000004">
      <c r="B140" s="9" t="s">
        <v>876</v>
      </c>
      <c r="C140" s="5" t="s">
        <v>458</v>
      </c>
      <c r="D140" s="4"/>
      <c r="E140" s="4"/>
      <c r="F140" s="4"/>
      <c r="G140" s="4"/>
      <c r="H140" s="4"/>
      <c r="I140" s="4"/>
      <c r="J140" s="4"/>
      <c r="K140" s="4"/>
      <c r="L140" s="4"/>
      <c r="M140" s="4"/>
    </row>
    <row r="141" spans="1:13" x14ac:dyDescent="0.55000000000000004">
      <c r="B141" s="9" t="s">
        <v>877</v>
      </c>
      <c r="C141" s="5" t="s">
        <v>458</v>
      </c>
      <c r="D141" s="4"/>
      <c r="E141" s="4"/>
      <c r="F141" s="4"/>
      <c r="G141" s="4"/>
      <c r="H141" s="4"/>
      <c r="I141" s="4"/>
      <c r="J141" s="4"/>
      <c r="K141" s="4"/>
      <c r="L141" s="4"/>
      <c r="M141" s="4"/>
    </row>
    <row r="142" spans="1:13" x14ac:dyDescent="0.55000000000000004">
      <c r="A142" s="21" t="s">
        <v>974</v>
      </c>
      <c r="B142" s="9" t="s">
        <v>878</v>
      </c>
      <c r="C142" s="5" t="s">
        <v>458</v>
      </c>
      <c r="D142" s="4"/>
      <c r="E142" s="4"/>
      <c r="F142" s="4"/>
      <c r="G142" s="4"/>
      <c r="H142" s="4"/>
      <c r="I142" s="4"/>
      <c r="J142" s="4"/>
      <c r="K142" s="4"/>
      <c r="L142" s="4"/>
      <c r="M142" s="4"/>
    </row>
    <row r="143" spans="1:13" x14ac:dyDescent="0.55000000000000004">
      <c r="A143" t="s">
        <v>212</v>
      </c>
      <c r="B143" s="9" t="s">
        <v>869</v>
      </c>
      <c r="C143" s="5">
        <v>2</v>
      </c>
      <c r="D143" s="4"/>
      <c r="E143" s="4"/>
      <c r="F143" s="4"/>
      <c r="G143" s="4"/>
      <c r="H143" s="4"/>
      <c r="I143" s="4"/>
      <c r="J143" s="4"/>
      <c r="K143" s="4"/>
      <c r="L143" s="4"/>
      <c r="M143" s="4"/>
    </row>
    <row r="144" spans="1:13" x14ac:dyDescent="0.55000000000000004">
      <c r="B144" s="9" t="s">
        <v>870</v>
      </c>
      <c r="C144" s="5" t="s">
        <v>458</v>
      </c>
      <c r="D144" s="4"/>
      <c r="E144" s="4"/>
      <c r="F144" s="4"/>
      <c r="G144" s="4"/>
      <c r="H144" s="4"/>
      <c r="I144" s="4"/>
      <c r="J144" s="4"/>
      <c r="K144" s="4"/>
      <c r="L144" s="4"/>
      <c r="M144" s="4"/>
    </row>
    <row r="145" spans="1:13" x14ac:dyDescent="0.55000000000000004">
      <c r="B145" s="9" t="s">
        <v>871</v>
      </c>
      <c r="C145" s="5" t="s">
        <v>458</v>
      </c>
      <c r="D145" s="4"/>
      <c r="E145" s="4"/>
      <c r="F145" s="4"/>
      <c r="G145" s="4"/>
      <c r="H145" s="4"/>
      <c r="I145" s="4"/>
      <c r="J145" s="4"/>
      <c r="K145" s="4"/>
      <c r="L145" s="4"/>
      <c r="M145" s="4"/>
    </row>
    <row r="146" spans="1:13" x14ac:dyDescent="0.55000000000000004">
      <c r="B146" s="9" t="s">
        <v>872</v>
      </c>
      <c r="C146" s="5" t="s">
        <v>458</v>
      </c>
      <c r="D146" s="4"/>
      <c r="E146" s="4"/>
      <c r="F146" s="4"/>
      <c r="G146" s="4"/>
      <c r="H146" s="4"/>
      <c r="I146" s="4"/>
      <c r="J146" s="4"/>
      <c r="K146" s="4"/>
      <c r="L146" s="4"/>
      <c r="M146" s="4"/>
    </row>
    <row r="147" spans="1:13" x14ac:dyDescent="0.55000000000000004">
      <c r="A147" s="21" t="s">
        <v>974</v>
      </c>
      <c r="B147" s="9" t="s">
        <v>873</v>
      </c>
      <c r="C147" s="5" t="s">
        <v>458</v>
      </c>
      <c r="D147" s="4"/>
      <c r="E147" s="4"/>
      <c r="F147" s="4"/>
      <c r="G147" s="4"/>
      <c r="H147" s="4"/>
      <c r="I147" s="4"/>
      <c r="J147" s="4"/>
      <c r="K147" s="4"/>
      <c r="L147" s="4"/>
      <c r="M147" s="4"/>
    </row>
    <row r="148" spans="1:13" x14ac:dyDescent="0.55000000000000004">
      <c r="B148" s="9" t="s">
        <v>864</v>
      </c>
      <c r="C148" s="5">
        <v>46</v>
      </c>
      <c r="D148" s="4"/>
      <c r="E148" s="4"/>
      <c r="F148" s="4"/>
      <c r="G148" s="4"/>
      <c r="H148" s="4"/>
      <c r="I148" s="4"/>
      <c r="J148" s="4"/>
      <c r="K148" s="4"/>
      <c r="L148" s="4"/>
      <c r="M148" s="4"/>
    </row>
    <row r="149" spans="1:13" x14ac:dyDescent="0.55000000000000004">
      <c r="B149" s="9" t="s">
        <v>865</v>
      </c>
      <c r="C149" s="5" t="s">
        <v>458</v>
      </c>
      <c r="D149" s="4"/>
      <c r="E149" s="4"/>
      <c r="F149" s="4"/>
      <c r="G149" s="4"/>
      <c r="H149" s="4"/>
      <c r="I149" s="4"/>
      <c r="J149" s="4"/>
      <c r="K149" s="4"/>
      <c r="L149" s="4"/>
      <c r="M149" s="4"/>
    </row>
    <row r="150" spans="1:13" x14ac:dyDescent="0.55000000000000004">
      <c r="B150" s="9" t="s">
        <v>866</v>
      </c>
      <c r="C150" s="5" t="s">
        <v>458</v>
      </c>
      <c r="D150" s="4"/>
      <c r="E150" s="4"/>
      <c r="F150" s="4"/>
      <c r="G150" s="4"/>
      <c r="H150" s="4"/>
      <c r="I150" s="4"/>
      <c r="J150" s="4"/>
      <c r="K150" s="4"/>
      <c r="L150" s="4"/>
      <c r="M150" s="4"/>
    </row>
    <row r="151" spans="1:13" x14ac:dyDescent="0.55000000000000004">
      <c r="B151" s="9" t="s">
        <v>867</v>
      </c>
      <c r="C151" s="5" t="s">
        <v>458</v>
      </c>
      <c r="D151" s="4"/>
      <c r="E151" s="4"/>
      <c r="F151" s="4"/>
      <c r="G151" s="4"/>
      <c r="H151" s="4"/>
      <c r="I151" s="4"/>
      <c r="J151" s="4"/>
      <c r="K151" s="4"/>
      <c r="L151" s="4"/>
      <c r="M151" s="4"/>
    </row>
    <row r="152" spans="1:13" x14ac:dyDescent="0.55000000000000004">
      <c r="A152" s="21" t="s">
        <v>974</v>
      </c>
      <c r="B152" s="9" t="s">
        <v>868</v>
      </c>
      <c r="C152" s="5" t="s">
        <v>458</v>
      </c>
      <c r="D152" s="4"/>
      <c r="E152" s="4"/>
      <c r="F152" s="4"/>
      <c r="G152" s="4"/>
      <c r="H152" s="4"/>
      <c r="I152" s="4"/>
      <c r="J152" s="4"/>
      <c r="K152" s="4"/>
      <c r="L152" s="4"/>
      <c r="M152" s="4"/>
    </row>
    <row r="153" spans="1:13" x14ac:dyDescent="0.55000000000000004">
      <c r="B153" s="9" t="s">
        <v>859</v>
      </c>
      <c r="C153" s="5" t="s">
        <v>1202</v>
      </c>
      <c r="D153" s="4"/>
      <c r="E153" s="4"/>
      <c r="F153" s="4"/>
      <c r="G153" s="4"/>
      <c r="H153" s="4"/>
      <c r="I153" s="4"/>
      <c r="J153" s="4"/>
      <c r="K153" s="4"/>
      <c r="L153" s="4"/>
      <c r="M153" s="4"/>
    </row>
    <row r="154" spans="1:13" x14ac:dyDescent="0.55000000000000004">
      <c r="B154" s="9" t="s">
        <v>863</v>
      </c>
      <c r="C154" s="5" t="s">
        <v>458</v>
      </c>
      <c r="D154" s="4"/>
      <c r="E154" s="4"/>
      <c r="F154" s="4"/>
      <c r="G154" s="4"/>
      <c r="H154" s="4"/>
      <c r="I154" s="4"/>
      <c r="J154" s="4"/>
      <c r="K154" s="4"/>
      <c r="L154" s="4"/>
      <c r="M154" s="4"/>
    </row>
    <row r="155" spans="1:13" x14ac:dyDescent="0.55000000000000004">
      <c r="B155" s="9" t="s">
        <v>862</v>
      </c>
      <c r="C155" s="5" t="s">
        <v>458</v>
      </c>
      <c r="D155" s="4"/>
      <c r="E155" s="4"/>
      <c r="F155" s="4"/>
      <c r="G155" s="4"/>
      <c r="H155" s="4"/>
      <c r="I155" s="4"/>
      <c r="J155" s="4"/>
      <c r="K155" s="4"/>
      <c r="L155" s="4"/>
      <c r="M155" s="4"/>
    </row>
    <row r="156" spans="1:13" x14ac:dyDescent="0.55000000000000004">
      <c r="B156" s="9" t="s">
        <v>861</v>
      </c>
      <c r="C156" s="5" t="s">
        <v>458</v>
      </c>
      <c r="D156" s="4"/>
      <c r="E156" s="4"/>
      <c r="F156" s="4"/>
      <c r="G156" s="4"/>
      <c r="H156" s="4"/>
      <c r="I156" s="4"/>
      <c r="J156" s="4"/>
      <c r="K156" s="4"/>
      <c r="L156" s="4"/>
      <c r="M156" s="4"/>
    </row>
    <row r="157" spans="1:13" x14ac:dyDescent="0.55000000000000004">
      <c r="A157" s="21" t="s">
        <v>974</v>
      </c>
      <c r="B157" s="9" t="s">
        <v>860</v>
      </c>
      <c r="C157" s="5" t="s">
        <v>458</v>
      </c>
      <c r="D157" s="4"/>
      <c r="E157" s="4"/>
      <c r="F157" s="4"/>
      <c r="G157" s="4"/>
      <c r="H157" s="4"/>
      <c r="I157" s="4"/>
      <c r="J157" s="4"/>
      <c r="K157" s="4"/>
      <c r="L157" s="4"/>
      <c r="M157" s="4"/>
    </row>
    <row r="158" spans="1:13" x14ac:dyDescent="0.55000000000000004">
      <c r="B158" s="9" t="s">
        <v>854</v>
      </c>
      <c r="C158" s="5">
        <v>456.9</v>
      </c>
      <c r="D158" s="4"/>
      <c r="E158" s="4"/>
      <c r="F158" s="4"/>
      <c r="G158" s="4"/>
      <c r="H158" s="4"/>
      <c r="I158" s="4"/>
      <c r="J158" s="4"/>
      <c r="K158" s="4"/>
      <c r="L158" s="4"/>
      <c r="M158" s="4"/>
    </row>
    <row r="159" spans="1:13" x14ac:dyDescent="0.55000000000000004">
      <c r="B159" s="9" t="s">
        <v>855</v>
      </c>
      <c r="C159" s="5" t="s">
        <v>458</v>
      </c>
      <c r="D159" s="4"/>
      <c r="E159" s="4"/>
      <c r="F159" s="4"/>
      <c r="G159" s="4"/>
      <c r="H159" s="4"/>
      <c r="I159" s="4"/>
      <c r="J159" s="4"/>
      <c r="K159" s="4"/>
      <c r="L159" s="4"/>
      <c r="M159" s="4"/>
    </row>
    <row r="160" spans="1:13" x14ac:dyDescent="0.55000000000000004">
      <c r="B160" s="9" t="s">
        <v>856</v>
      </c>
      <c r="C160" s="5" t="s">
        <v>458</v>
      </c>
      <c r="D160" s="4"/>
      <c r="E160" s="4"/>
      <c r="F160" s="4"/>
      <c r="G160" s="4"/>
      <c r="H160" s="4"/>
      <c r="I160" s="4"/>
      <c r="J160" s="4"/>
      <c r="K160" s="4"/>
      <c r="L160" s="4"/>
      <c r="M160" s="4"/>
    </row>
    <row r="161" spans="1:13" x14ac:dyDescent="0.55000000000000004">
      <c r="B161" s="9" t="s">
        <v>857</v>
      </c>
      <c r="C161" s="5" t="s">
        <v>458</v>
      </c>
      <c r="D161" s="4"/>
      <c r="E161" s="4"/>
      <c r="F161" s="4"/>
      <c r="G161" s="4"/>
      <c r="H161" s="4"/>
      <c r="I161" s="4"/>
      <c r="J161" s="4"/>
      <c r="K161" s="4"/>
      <c r="L161" s="4"/>
      <c r="M161" s="4"/>
    </row>
    <row r="162" spans="1:13" x14ac:dyDescent="0.55000000000000004">
      <c r="A162" s="21" t="s">
        <v>974</v>
      </c>
      <c r="B162" s="9" t="s">
        <v>858</v>
      </c>
      <c r="C162" s="5" t="s">
        <v>458</v>
      </c>
      <c r="D162" s="4"/>
      <c r="E162" s="4"/>
      <c r="F162" s="4"/>
      <c r="G162" s="4"/>
      <c r="H162" s="4"/>
      <c r="I162" s="4"/>
      <c r="J162" s="4"/>
      <c r="K162" s="4"/>
      <c r="L162" s="4"/>
      <c r="M162" s="4"/>
    </row>
    <row r="163" spans="1:13" x14ac:dyDescent="0.55000000000000004">
      <c r="B163" s="9" t="s">
        <v>849</v>
      </c>
      <c r="C163" s="5">
        <v>0</v>
      </c>
      <c r="D163" s="4"/>
      <c r="E163" s="4"/>
      <c r="F163" s="4"/>
      <c r="G163" s="4"/>
      <c r="H163" s="4"/>
      <c r="I163" s="4"/>
      <c r="J163" s="4"/>
      <c r="K163" s="4"/>
      <c r="L163" s="4"/>
      <c r="M163" s="4"/>
    </row>
    <row r="164" spans="1:13" x14ac:dyDescent="0.55000000000000004">
      <c r="B164" s="9" t="s">
        <v>850</v>
      </c>
      <c r="C164" s="5" t="s">
        <v>458</v>
      </c>
      <c r="D164" s="4"/>
      <c r="E164" s="4"/>
      <c r="F164" s="4"/>
      <c r="G164" s="4"/>
      <c r="H164" s="4"/>
      <c r="I164" s="4"/>
      <c r="J164" s="4"/>
      <c r="K164" s="4"/>
      <c r="L164" s="4"/>
      <c r="M164" s="4"/>
    </row>
    <row r="165" spans="1:13" x14ac:dyDescent="0.55000000000000004">
      <c r="B165" s="9" t="s">
        <v>851</v>
      </c>
      <c r="C165" s="5" t="s">
        <v>458</v>
      </c>
      <c r="D165" s="4"/>
      <c r="E165" s="4"/>
      <c r="F165" s="4"/>
      <c r="G165" s="4"/>
      <c r="H165" s="4"/>
      <c r="I165" s="4"/>
      <c r="J165" s="4"/>
      <c r="K165" s="4"/>
      <c r="L165" s="4"/>
      <c r="M165" s="4"/>
    </row>
    <row r="166" spans="1:13" x14ac:dyDescent="0.55000000000000004">
      <c r="B166" s="9" t="s">
        <v>852</v>
      </c>
      <c r="C166" s="5" t="s">
        <v>458</v>
      </c>
      <c r="D166" s="4"/>
      <c r="E166" s="4"/>
      <c r="F166" s="4"/>
      <c r="G166" s="4"/>
      <c r="H166" s="4"/>
      <c r="I166" s="4"/>
      <c r="J166" s="4"/>
      <c r="K166" s="4"/>
      <c r="L166" s="4"/>
      <c r="M166" s="4"/>
    </row>
    <row r="167" spans="1:13" x14ac:dyDescent="0.55000000000000004">
      <c r="A167" s="21" t="s">
        <v>974</v>
      </c>
      <c r="B167" s="9" t="s">
        <v>853</v>
      </c>
      <c r="C167" s="5" t="s">
        <v>458</v>
      </c>
      <c r="D167" s="4"/>
      <c r="E167" s="4"/>
      <c r="F167" s="4"/>
      <c r="G167" s="4"/>
      <c r="H167" s="4"/>
      <c r="I167" s="4"/>
      <c r="J167" s="4"/>
      <c r="K167" s="4"/>
      <c r="L167" s="4"/>
      <c r="M167" s="4"/>
    </row>
    <row r="168" spans="1:13" x14ac:dyDescent="0.55000000000000004">
      <c r="B168" s="109" t="s">
        <v>2468</v>
      </c>
      <c r="C168" s="5">
        <v>3.14</v>
      </c>
      <c r="D168" s="4"/>
      <c r="E168" s="4"/>
      <c r="F168" s="4"/>
      <c r="G168" s="4"/>
      <c r="H168" s="4"/>
      <c r="I168" s="4"/>
      <c r="J168" s="4"/>
      <c r="K168" s="4"/>
      <c r="L168" s="4"/>
      <c r="M168" s="4"/>
    </row>
    <row r="169" spans="1:13" x14ac:dyDescent="0.55000000000000004">
      <c r="B169" s="109" t="s">
        <v>2469</v>
      </c>
      <c r="C169" s="5">
        <v>3.14</v>
      </c>
      <c r="D169" s="4"/>
      <c r="E169" s="4"/>
      <c r="F169" s="4"/>
      <c r="G169" s="4"/>
      <c r="H169" s="4"/>
      <c r="I169" s="4"/>
      <c r="J169" s="4"/>
      <c r="K169" s="4"/>
      <c r="L169" s="4"/>
      <c r="M169" s="4"/>
    </row>
    <row r="170" spans="1:13" x14ac:dyDescent="0.55000000000000004">
      <c r="B170" s="109" t="s">
        <v>2470</v>
      </c>
      <c r="C170" s="5">
        <v>3.14</v>
      </c>
      <c r="D170" s="4"/>
      <c r="E170" s="4"/>
      <c r="F170" s="4"/>
      <c r="G170" s="4"/>
      <c r="H170" s="4"/>
      <c r="I170" s="4"/>
      <c r="J170" s="4"/>
      <c r="K170" s="4"/>
      <c r="L170" s="4"/>
      <c r="M170" s="4"/>
    </row>
    <row r="171" spans="1:13" x14ac:dyDescent="0.55000000000000004">
      <c r="B171" s="109" t="s">
        <v>2471</v>
      </c>
      <c r="C171" s="5">
        <v>3.14</v>
      </c>
      <c r="D171" s="4"/>
      <c r="E171" s="4"/>
      <c r="F171" s="4"/>
      <c r="G171" s="4"/>
      <c r="H171" s="4"/>
      <c r="I171" s="4"/>
      <c r="J171" s="4"/>
      <c r="K171" s="4"/>
      <c r="L171" s="4"/>
      <c r="M171" s="4"/>
    </row>
    <row r="172" spans="1:13" x14ac:dyDescent="0.55000000000000004">
      <c r="B172" s="109" t="s">
        <v>2472</v>
      </c>
      <c r="C172" s="5">
        <v>3.14</v>
      </c>
      <c r="D172" s="4"/>
      <c r="E172" s="4"/>
      <c r="F172" s="4"/>
      <c r="G172" s="4"/>
      <c r="H172" s="4"/>
      <c r="I172" s="4"/>
      <c r="J172" s="4"/>
      <c r="K172" s="4"/>
      <c r="L172" s="4"/>
      <c r="M172" s="4"/>
    </row>
    <row r="173" spans="1:13" x14ac:dyDescent="0.55000000000000004">
      <c r="B173" s="16"/>
      <c r="C173" s="4" t="s">
        <v>458</v>
      </c>
      <c r="D173" s="4"/>
      <c r="E173" s="4"/>
      <c r="F173" s="4"/>
      <c r="G173" s="4"/>
      <c r="H173" s="4"/>
      <c r="I173" s="4"/>
      <c r="J173" s="4"/>
      <c r="K173" s="4"/>
      <c r="L173" s="4"/>
      <c r="M173" s="4"/>
    </row>
    <row r="174" spans="1:13" x14ac:dyDescent="0.55000000000000004">
      <c r="B174" s="61" t="s">
        <v>26</v>
      </c>
      <c r="C174" s="20" t="s">
        <v>95</v>
      </c>
      <c r="D174" s="4" t="s">
        <v>96</v>
      </c>
      <c r="E174" s="4" t="s">
        <v>97</v>
      </c>
      <c r="F174" s="4" t="s">
        <v>98</v>
      </c>
      <c r="G174" s="4" t="s">
        <v>99</v>
      </c>
      <c r="H174" s="4" t="s">
        <v>100</v>
      </c>
      <c r="I174" s="4" t="s">
        <v>101</v>
      </c>
      <c r="J174" s="4" t="s">
        <v>102</v>
      </c>
      <c r="K174" s="4" t="s">
        <v>103</v>
      </c>
      <c r="L174" s="4" t="s">
        <v>104</v>
      </c>
      <c r="M174" s="4"/>
    </row>
    <row r="175" spans="1:13" x14ac:dyDescent="0.55000000000000004">
      <c r="B175" s="9" t="s">
        <v>325</v>
      </c>
      <c r="C175" s="5"/>
      <c r="D175" s="4"/>
      <c r="E175" s="4"/>
      <c r="F175" s="4"/>
      <c r="G175" s="4"/>
      <c r="H175" s="4"/>
      <c r="I175" s="4"/>
      <c r="J175" s="4"/>
      <c r="K175" s="4"/>
      <c r="L175" s="4"/>
      <c r="M175" s="4"/>
    </row>
    <row r="176" spans="1:13" x14ac:dyDescent="0.55000000000000004">
      <c r="B176" s="9" t="s">
        <v>326</v>
      </c>
      <c r="C176" s="5"/>
      <c r="D176" s="4"/>
      <c r="E176" s="4"/>
      <c r="F176" s="4"/>
      <c r="G176" s="4"/>
      <c r="H176" s="4"/>
      <c r="I176" s="4"/>
      <c r="J176" s="4"/>
      <c r="K176" s="4"/>
      <c r="L176" s="4"/>
      <c r="M176" s="4"/>
    </row>
    <row r="177" spans="2:13" x14ac:dyDescent="0.55000000000000004">
      <c r="B177" s="9" t="s">
        <v>352</v>
      </c>
      <c r="C177" s="5"/>
      <c r="D177" s="4"/>
      <c r="E177" s="4"/>
      <c r="F177" s="4"/>
      <c r="G177" s="4"/>
      <c r="H177" s="4"/>
      <c r="I177" s="4"/>
      <c r="J177" s="4"/>
      <c r="K177" s="4"/>
      <c r="L177" s="4"/>
      <c r="M177" s="4"/>
    </row>
    <row r="178" spans="2:13" x14ac:dyDescent="0.55000000000000004">
      <c r="B178" s="9" t="s">
        <v>353</v>
      </c>
      <c r="C178" s="5"/>
      <c r="D178" s="4"/>
      <c r="E178" s="4"/>
      <c r="F178" s="4"/>
      <c r="G178" s="4"/>
      <c r="H178" s="4"/>
      <c r="I178" s="4"/>
      <c r="J178" s="4"/>
      <c r="K178" s="4"/>
      <c r="L178" s="4"/>
      <c r="M178" s="4"/>
    </row>
    <row r="179" spans="2:13" x14ac:dyDescent="0.55000000000000004">
      <c r="B179" s="9" t="s">
        <v>354</v>
      </c>
      <c r="C179" s="5"/>
      <c r="D179" s="4"/>
      <c r="E179" s="4"/>
      <c r="F179" s="4"/>
      <c r="G179" s="4"/>
      <c r="H179" s="4"/>
      <c r="I179" s="4"/>
      <c r="J179" s="4"/>
      <c r="K179" s="4"/>
      <c r="L179" s="4"/>
      <c r="M179" s="4"/>
    </row>
    <row r="180" spans="2:13" x14ac:dyDescent="0.55000000000000004">
      <c r="B180" s="9" t="s">
        <v>355</v>
      </c>
      <c r="C180" s="5"/>
      <c r="D180" s="4"/>
      <c r="E180" s="4"/>
      <c r="F180" s="4"/>
      <c r="G180" s="4"/>
      <c r="H180" s="4"/>
      <c r="I180" s="4"/>
      <c r="J180" s="4"/>
      <c r="K180" s="4"/>
      <c r="L180" s="4"/>
      <c r="M180" s="4"/>
    </row>
    <row r="181" spans="2:13" x14ac:dyDescent="0.55000000000000004">
      <c r="B181" s="9" t="s">
        <v>359</v>
      </c>
      <c r="C181" s="5"/>
      <c r="D181" s="4"/>
      <c r="E181" s="4"/>
      <c r="F181" s="4"/>
      <c r="G181" s="4"/>
      <c r="H181" s="4"/>
      <c r="I181" s="4"/>
      <c r="J181" s="4"/>
      <c r="K181" s="4"/>
      <c r="L181" s="4"/>
      <c r="M181" s="4"/>
    </row>
    <row r="182" spans="2:13" x14ac:dyDescent="0.55000000000000004">
      <c r="B182" s="9" t="s">
        <v>358</v>
      </c>
      <c r="C182" s="5"/>
      <c r="D182" s="4"/>
      <c r="E182" s="4"/>
      <c r="F182" s="4"/>
      <c r="G182" s="4"/>
      <c r="H182" s="4"/>
      <c r="I182" s="4"/>
      <c r="J182" s="4"/>
      <c r="K182" s="4"/>
      <c r="L182" s="4"/>
      <c r="M182" s="4"/>
    </row>
    <row r="183" spans="2:13" x14ac:dyDescent="0.55000000000000004">
      <c r="B183" s="9" t="s">
        <v>356</v>
      </c>
      <c r="C183" s="5"/>
      <c r="D183" s="4"/>
      <c r="E183" s="4"/>
      <c r="F183" s="4"/>
      <c r="G183" s="4"/>
      <c r="H183" s="4"/>
      <c r="I183" s="4"/>
      <c r="J183" s="4"/>
      <c r="K183" s="4"/>
      <c r="L183" s="4"/>
      <c r="M183" s="4"/>
    </row>
    <row r="184" spans="2:13" x14ac:dyDescent="0.55000000000000004">
      <c r="B184" s="9" t="s">
        <v>357</v>
      </c>
      <c r="C184" s="5"/>
      <c r="D184" s="4"/>
      <c r="E184" s="4"/>
      <c r="F184" s="4"/>
      <c r="G184" s="4"/>
      <c r="H184" s="4"/>
      <c r="I184" s="4"/>
      <c r="J184" s="4"/>
      <c r="K184" s="4"/>
      <c r="L184" s="4"/>
      <c r="M184" s="4"/>
    </row>
    <row r="185" spans="2:13" x14ac:dyDescent="0.55000000000000004">
      <c r="B185" s="9" t="s">
        <v>351</v>
      </c>
      <c r="C185" s="5"/>
      <c r="D185" s="4"/>
      <c r="E185" s="4"/>
      <c r="F185" s="4"/>
      <c r="G185" s="4"/>
      <c r="H185" s="4"/>
      <c r="I185" s="4"/>
      <c r="J185" s="4"/>
      <c r="K185" s="4"/>
      <c r="L185" s="4"/>
      <c r="M185" s="4"/>
    </row>
    <row r="186" spans="2:13" x14ac:dyDescent="0.55000000000000004">
      <c r="B186" s="9" t="s">
        <v>346</v>
      </c>
      <c r="C186" s="5"/>
      <c r="D186" s="4"/>
      <c r="E186" s="4"/>
      <c r="F186" s="4"/>
      <c r="G186" s="4"/>
      <c r="H186" s="4"/>
      <c r="I186" s="4"/>
      <c r="J186" s="4"/>
      <c r="K186" s="4"/>
      <c r="L186" s="4"/>
      <c r="M186" s="4"/>
    </row>
    <row r="187" spans="2:13" x14ac:dyDescent="0.55000000000000004">
      <c r="B187" s="9" t="s">
        <v>347</v>
      </c>
      <c r="C187" s="5"/>
      <c r="D187" s="4"/>
      <c r="E187" s="4"/>
      <c r="F187" s="4"/>
      <c r="G187" s="4"/>
      <c r="H187" s="4"/>
      <c r="I187" s="4"/>
      <c r="J187" s="4"/>
      <c r="K187" s="4"/>
      <c r="L187" s="4"/>
      <c r="M187" s="4"/>
    </row>
    <row r="188" spans="2:13" x14ac:dyDescent="0.55000000000000004">
      <c r="B188" s="9" t="s">
        <v>361</v>
      </c>
      <c r="C188" s="5"/>
      <c r="D188" s="4"/>
      <c r="E188" s="4"/>
      <c r="F188" s="4"/>
      <c r="G188" s="4"/>
      <c r="H188" s="4"/>
      <c r="I188" s="4"/>
      <c r="J188" s="4"/>
      <c r="K188" s="4"/>
      <c r="L188" s="4"/>
      <c r="M188" s="4"/>
    </row>
    <row r="189" spans="2:13" x14ac:dyDescent="0.55000000000000004">
      <c r="B189" s="9" t="s">
        <v>363</v>
      </c>
      <c r="C189" s="5"/>
      <c r="D189" s="4"/>
      <c r="E189" s="4"/>
      <c r="F189" s="4"/>
      <c r="G189" s="4"/>
      <c r="H189" s="4"/>
      <c r="I189" s="4"/>
      <c r="J189" s="4"/>
      <c r="K189" s="4"/>
      <c r="L189" s="4"/>
      <c r="M189" s="4"/>
    </row>
    <row r="190" spans="2:13" x14ac:dyDescent="0.55000000000000004">
      <c r="B190" s="9" t="s">
        <v>350</v>
      </c>
      <c r="C190" s="5"/>
      <c r="D190" s="4"/>
      <c r="E190" s="4"/>
      <c r="F190" s="4"/>
      <c r="G190" s="4"/>
      <c r="H190" s="4"/>
      <c r="I190" s="4"/>
      <c r="J190" s="4"/>
      <c r="K190" s="4"/>
      <c r="L190" s="4"/>
      <c r="M190" s="4"/>
    </row>
    <row r="191" spans="2:13" x14ac:dyDescent="0.55000000000000004">
      <c r="B191" s="9" t="s">
        <v>349</v>
      </c>
      <c r="C191" s="5"/>
      <c r="D191" s="4"/>
      <c r="E191" s="4"/>
      <c r="F191" s="4"/>
      <c r="G191" s="4"/>
      <c r="H191" s="4"/>
      <c r="I191" s="4"/>
      <c r="J191" s="4"/>
      <c r="K191" s="4"/>
      <c r="L191" s="4"/>
      <c r="M191" s="4"/>
    </row>
    <row r="192" spans="2:13" x14ac:dyDescent="0.55000000000000004">
      <c r="B192" s="9" t="s">
        <v>348</v>
      </c>
      <c r="C192" s="5"/>
      <c r="D192" s="4"/>
      <c r="E192" s="4"/>
      <c r="F192" s="4"/>
      <c r="G192" s="4"/>
      <c r="H192" s="4"/>
      <c r="I192" s="4"/>
      <c r="J192" s="4"/>
      <c r="K192" s="4"/>
      <c r="L192" s="4"/>
      <c r="M192" s="4"/>
    </row>
    <row r="193" spans="2:13" x14ac:dyDescent="0.55000000000000004">
      <c r="B193" s="9" t="s">
        <v>360</v>
      </c>
      <c r="C193" s="5"/>
      <c r="D193" s="4"/>
      <c r="E193" s="4"/>
      <c r="F193" s="4"/>
      <c r="G193" s="4"/>
      <c r="H193" s="4"/>
      <c r="I193" s="4"/>
      <c r="J193" s="4"/>
      <c r="K193" s="4"/>
      <c r="L193" s="4"/>
      <c r="M193" s="4"/>
    </row>
    <row r="194" spans="2:13" x14ac:dyDescent="0.55000000000000004">
      <c r="B194" s="9" t="s">
        <v>362</v>
      </c>
      <c r="C194" s="5"/>
      <c r="D194" s="4"/>
      <c r="E194" s="4"/>
      <c r="F194" s="4"/>
      <c r="G194" s="4"/>
      <c r="H194" s="4"/>
      <c r="I194" s="4"/>
      <c r="J194" s="4"/>
      <c r="K194" s="4"/>
      <c r="L194" s="4"/>
      <c r="M194" s="4"/>
    </row>
    <row r="195" spans="2:13" x14ac:dyDescent="0.55000000000000004">
      <c r="B195" s="16"/>
      <c r="C195" s="4" t="s">
        <v>458</v>
      </c>
      <c r="D195" s="4"/>
      <c r="E195" s="4"/>
      <c r="F195" s="4"/>
      <c r="G195" s="4"/>
      <c r="H195" s="4"/>
      <c r="I195" s="4"/>
      <c r="J195" s="4"/>
      <c r="K195" s="4"/>
      <c r="L195" s="4"/>
      <c r="M195" s="4"/>
    </row>
    <row r="196" spans="2:13" x14ac:dyDescent="0.55000000000000004">
      <c r="B196" s="61" t="s">
        <v>242</v>
      </c>
      <c r="C196" s="4" t="s">
        <v>243</v>
      </c>
      <c r="D196" s="4" t="s">
        <v>244</v>
      </c>
      <c r="E196" s="4" t="s">
        <v>245</v>
      </c>
      <c r="F196" s="4" t="s">
        <v>246</v>
      </c>
      <c r="G196" s="4" t="s">
        <v>247</v>
      </c>
      <c r="H196" s="4" t="s">
        <v>248</v>
      </c>
      <c r="I196" s="4" t="s">
        <v>249</v>
      </c>
      <c r="J196" s="4" t="s">
        <v>250</v>
      </c>
      <c r="K196" s="4" t="s">
        <v>251</v>
      </c>
      <c r="L196" s="4" t="s">
        <v>252</v>
      </c>
      <c r="M196" s="4"/>
    </row>
    <row r="197" spans="2:13" x14ac:dyDescent="0.55000000000000004">
      <c r="B197" s="9" t="s">
        <v>371</v>
      </c>
      <c r="C197" s="5"/>
      <c r="D197" s="4"/>
      <c r="E197" s="4"/>
      <c r="F197" s="4"/>
      <c r="G197" s="4"/>
      <c r="H197" s="4"/>
      <c r="I197" s="4"/>
      <c r="J197" s="4"/>
      <c r="K197" s="4"/>
      <c r="L197" s="4"/>
      <c r="M197" s="4"/>
    </row>
    <row r="198" spans="2:13" x14ac:dyDescent="0.55000000000000004">
      <c r="B198" s="9" t="s">
        <v>370</v>
      </c>
      <c r="C198" s="5"/>
      <c r="D198" s="4"/>
      <c r="E198" s="4"/>
      <c r="F198" s="4"/>
      <c r="G198" s="4"/>
      <c r="H198" s="4"/>
      <c r="I198" s="4"/>
      <c r="J198" s="4"/>
      <c r="K198" s="4"/>
      <c r="L198" s="4"/>
      <c r="M198" s="4"/>
    </row>
    <row r="199" spans="2:13" x14ac:dyDescent="0.55000000000000004">
      <c r="B199" s="9" t="s">
        <v>372</v>
      </c>
      <c r="C199" s="5"/>
      <c r="D199" s="4"/>
      <c r="E199" s="4"/>
      <c r="F199" s="4"/>
      <c r="G199" s="4"/>
      <c r="H199" s="4"/>
      <c r="I199" s="4"/>
      <c r="J199" s="4"/>
      <c r="K199" s="4"/>
      <c r="L199" s="4"/>
      <c r="M199" s="4"/>
    </row>
    <row r="200" spans="2:13" x14ac:dyDescent="0.55000000000000004">
      <c r="B200" s="9" t="s">
        <v>373</v>
      </c>
      <c r="C200" s="5"/>
      <c r="D200" s="4"/>
      <c r="E200" s="4"/>
      <c r="F200" s="4"/>
      <c r="G200" s="4"/>
      <c r="H200" s="4"/>
      <c r="I200" s="4"/>
      <c r="J200" s="4"/>
      <c r="K200" s="4"/>
      <c r="L200" s="4"/>
      <c r="M200" s="4"/>
    </row>
    <row r="201" spans="2:13" x14ac:dyDescent="0.55000000000000004">
      <c r="B201" s="9" t="s">
        <v>374</v>
      </c>
      <c r="C201" s="5"/>
      <c r="D201" s="4"/>
      <c r="E201" s="4"/>
      <c r="F201" s="4"/>
      <c r="G201" s="4"/>
      <c r="H201" s="4"/>
      <c r="I201" s="4"/>
      <c r="J201" s="4"/>
      <c r="K201" s="4"/>
      <c r="L201" s="4"/>
      <c r="M201" s="4"/>
    </row>
    <row r="202" spans="2:13" x14ac:dyDescent="0.55000000000000004">
      <c r="B202" s="9" t="s">
        <v>375</v>
      </c>
      <c r="C202" s="5"/>
      <c r="D202" s="4"/>
      <c r="E202" s="4"/>
      <c r="F202" s="4"/>
      <c r="G202" s="4"/>
      <c r="H202" s="4"/>
      <c r="I202" s="4"/>
      <c r="J202" s="4"/>
      <c r="K202" s="4"/>
      <c r="L202" s="4"/>
      <c r="M202" s="4"/>
    </row>
    <row r="203" spans="2:13" x14ac:dyDescent="0.55000000000000004">
      <c r="B203" s="9" t="s">
        <v>376</v>
      </c>
      <c r="C203" s="5"/>
      <c r="D203" s="4"/>
      <c r="E203" s="4"/>
      <c r="F203" s="4"/>
      <c r="G203" s="4"/>
      <c r="H203" s="4"/>
      <c r="I203" s="4"/>
      <c r="J203" s="4"/>
      <c r="K203" s="4"/>
      <c r="L203" s="4"/>
      <c r="M203" s="4"/>
    </row>
    <row r="204" spans="2:13" x14ac:dyDescent="0.55000000000000004">
      <c r="B204" s="9" t="s">
        <v>463</v>
      </c>
      <c r="C204" s="5"/>
      <c r="D204" s="4"/>
      <c r="E204" s="4"/>
      <c r="F204" s="4"/>
      <c r="G204" s="4"/>
      <c r="H204" s="4"/>
      <c r="I204" s="4"/>
      <c r="J204" s="4"/>
      <c r="K204" s="4"/>
      <c r="L204" s="4"/>
      <c r="M204" s="4"/>
    </row>
    <row r="205" spans="2:13" x14ac:dyDescent="0.55000000000000004">
      <c r="B205" s="9" t="s">
        <v>377</v>
      </c>
      <c r="C205" s="5"/>
      <c r="D205" s="4"/>
      <c r="E205" s="4"/>
      <c r="F205" s="4"/>
      <c r="G205" s="4"/>
      <c r="H205" s="4"/>
      <c r="I205" s="4"/>
      <c r="J205" s="4"/>
      <c r="K205" s="4"/>
      <c r="L205" s="4"/>
      <c r="M205" s="4"/>
    </row>
    <row r="206" spans="2:13" x14ac:dyDescent="0.55000000000000004">
      <c r="B206" s="9" t="s">
        <v>378</v>
      </c>
      <c r="C206" s="5"/>
      <c r="D206" s="4"/>
      <c r="E206" s="4"/>
      <c r="F206" s="4"/>
      <c r="G206" s="4"/>
      <c r="H206" s="4"/>
      <c r="I206" s="4"/>
      <c r="J206" s="4"/>
      <c r="K206" s="4"/>
      <c r="L206" s="4"/>
      <c r="M206" s="4"/>
    </row>
    <row r="207" spans="2:13" x14ac:dyDescent="0.55000000000000004">
      <c r="B207" s="9" t="s">
        <v>379</v>
      </c>
      <c r="C207" s="5"/>
      <c r="D207" s="4"/>
      <c r="E207" s="4"/>
      <c r="F207" s="4"/>
      <c r="G207" s="4"/>
      <c r="H207" s="4"/>
      <c r="I207" s="4"/>
      <c r="J207" s="4"/>
      <c r="K207" s="4"/>
      <c r="L207" s="4"/>
      <c r="M207" s="4"/>
    </row>
    <row r="208" spans="2:13" x14ac:dyDescent="0.55000000000000004">
      <c r="B208" s="9" t="s">
        <v>380</v>
      </c>
      <c r="C208" s="5"/>
      <c r="D208" s="4"/>
      <c r="E208" s="4"/>
      <c r="F208" s="4"/>
      <c r="G208" s="4"/>
      <c r="H208" s="4"/>
      <c r="I208" s="4"/>
      <c r="J208" s="4"/>
      <c r="K208" s="4"/>
      <c r="L208" s="4"/>
      <c r="M208" s="4"/>
    </row>
    <row r="209" spans="2:13" x14ac:dyDescent="0.55000000000000004">
      <c r="B209" s="9" t="s">
        <v>364</v>
      </c>
      <c r="C209" s="5"/>
      <c r="D209" s="4"/>
      <c r="E209" s="4"/>
      <c r="F209" s="4"/>
      <c r="G209" s="4"/>
      <c r="H209" s="4"/>
      <c r="I209" s="4"/>
      <c r="J209" s="4"/>
      <c r="K209" s="4"/>
      <c r="L209" s="4"/>
      <c r="M209" s="4"/>
    </row>
    <row r="210" spans="2:13" x14ac:dyDescent="0.55000000000000004">
      <c r="B210" s="9" t="s">
        <v>381</v>
      </c>
      <c r="C210" s="5"/>
      <c r="D210" s="4"/>
      <c r="E210" s="4"/>
      <c r="F210" s="4"/>
      <c r="G210" s="4"/>
      <c r="H210" s="4"/>
      <c r="I210" s="4"/>
      <c r="J210" s="4"/>
      <c r="K210" s="4"/>
      <c r="L210" s="4"/>
      <c r="M210" s="4"/>
    </row>
    <row r="211" spans="2:13" x14ac:dyDescent="0.55000000000000004">
      <c r="B211" s="9" t="s">
        <v>465</v>
      </c>
      <c r="C211" s="5"/>
      <c r="D211" s="4"/>
      <c r="E211" s="4"/>
      <c r="F211" s="4"/>
      <c r="G211" s="4"/>
      <c r="H211" s="4"/>
      <c r="I211" s="4"/>
      <c r="J211" s="4"/>
      <c r="K211" s="4"/>
      <c r="L211" s="4"/>
      <c r="M211" s="4"/>
    </row>
    <row r="212" spans="2:13" x14ac:dyDescent="0.55000000000000004">
      <c r="B212" s="9" t="s">
        <v>379</v>
      </c>
      <c r="C212" s="5"/>
      <c r="D212" s="4"/>
      <c r="E212" s="4"/>
      <c r="F212" s="4"/>
      <c r="G212" s="4"/>
      <c r="H212" s="4"/>
      <c r="I212" s="4"/>
      <c r="J212" s="4"/>
      <c r="K212" s="4"/>
      <c r="L212" s="4"/>
      <c r="M212" s="4"/>
    </row>
    <row r="213" spans="2:13" x14ac:dyDescent="0.55000000000000004">
      <c r="B213" s="9" t="s">
        <v>382</v>
      </c>
      <c r="C213" s="5"/>
      <c r="D213" s="4"/>
      <c r="E213" s="4"/>
      <c r="F213" s="4"/>
      <c r="G213" s="4"/>
      <c r="H213" s="4"/>
      <c r="I213" s="4"/>
      <c r="J213" s="4"/>
      <c r="K213" s="4"/>
      <c r="L213" s="4"/>
      <c r="M213" s="4"/>
    </row>
    <row r="214" spans="2:13" x14ac:dyDescent="0.55000000000000004">
      <c r="B214" s="9" t="s">
        <v>464</v>
      </c>
      <c r="C214" s="5"/>
      <c r="D214" s="4"/>
      <c r="E214" s="4"/>
      <c r="F214" s="4"/>
      <c r="G214" s="4"/>
      <c r="H214" s="4"/>
      <c r="I214" s="4"/>
      <c r="J214" s="4"/>
      <c r="K214" s="4"/>
      <c r="L214" s="4"/>
      <c r="M214" s="4"/>
    </row>
    <row r="215" spans="2:13" x14ac:dyDescent="0.55000000000000004">
      <c r="B215" s="9" t="s">
        <v>455</v>
      </c>
      <c r="C215" s="5"/>
      <c r="D215" s="4"/>
      <c r="E215" s="4"/>
      <c r="F215" s="4"/>
      <c r="G215" s="4"/>
      <c r="H215" s="4"/>
      <c r="I215" s="4"/>
      <c r="J215" s="4"/>
      <c r="K215" s="4"/>
      <c r="L215" s="4"/>
      <c r="M215" s="4"/>
    </row>
    <row r="216" spans="2:13" x14ac:dyDescent="0.55000000000000004">
      <c r="B216" s="9" t="s">
        <v>1214</v>
      </c>
      <c r="C216" s="5"/>
      <c r="D216" s="4"/>
      <c r="E216" s="4"/>
      <c r="F216" s="4"/>
      <c r="G216" s="4"/>
      <c r="H216" s="4"/>
      <c r="I216" s="4"/>
      <c r="J216" s="4"/>
      <c r="K216" s="4"/>
      <c r="L216" s="4"/>
      <c r="M216" s="4"/>
    </row>
    <row r="217" spans="2:13" x14ac:dyDescent="0.55000000000000004">
      <c r="B217" s="9" t="s">
        <v>467</v>
      </c>
      <c r="C217" s="5"/>
      <c r="D217" s="4"/>
      <c r="E217" s="4"/>
      <c r="F217" s="4"/>
      <c r="G217" s="4"/>
      <c r="H217" s="4"/>
      <c r="I217" s="4"/>
      <c r="J217" s="4"/>
      <c r="K217" s="4"/>
      <c r="L217" s="4"/>
      <c r="M217" s="4"/>
    </row>
    <row r="218" spans="2:13" x14ac:dyDescent="0.55000000000000004">
      <c r="B218" s="9" t="s">
        <v>456</v>
      </c>
      <c r="C218" s="5"/>
      <c r="D218" s="4"/>
      <c r="E218" s="4"/>
      <c r="F218" s="4"/>
      <c r="G218" s="4"/>
      <c r="H218" s="4"/>
      <c r="I218" s="4"/>
      <c r="J218" s="4"/>
      <c r="K218" s="4"/>
      <c r="L218" s="4"/>
      <c r="M218" s="4"/>
    </row>
    <row r="219" spans="2:13" x14ac:dyDescent="0.55000000000000004">
      <c r="B219" s="9" t="s">
        <v>457</v>
      </c>
      <c r="C219" s="5"/>
      <c r="D219" s="4"/>
      <c r="E219" s="4"/>
      <c r="F219" s="4"/>
      <c r="G219" s="4"/>
      <c r="H219" s="4"/>
      <c r="I219" s="4"/>
      <c r="J219" s="4"/>
      <c r="K219" s="4"/>
      <c r="L219" s="4"/>
      <c r="M219" s="4"/>
    </row>
    <row r="220" spans="2:13" x14ac:dyDescent="0.55000000000000004">
      <c r="B220" s="16"/>
      <c r="C220" s="4" t="s">
        <v>458</v>
      </c>
      <c r="D220" s="4"/>
      <c r="E220" s="4"/>
      <c r="F220" s="4"/>
      <c r="G220" s="4"/>
      <c r="H220" s="4"/>
      <c r="I220" s="4"/>
      <c r="J220" s="4"/>
      <c r="K220" s="4"/>
      <c r="L220" s="4"/>
      <c r="M220" s="4"/>
    </row>
    <row r="221" spans="2:13" x14ac:dyDescent="0.55000000000000004">
      <c r="B221" s="61" t="s">
        <v>27</v>
      </c>
      <c r="C221" s="4" t="s">
        <v>113</v>
      </c>
      <c r="D221" s="4" t="s">
        <v>105</v>
      </c>
      <c r="E221" s="4" t="s">
        <v>1004</v>
      </c>
      <c r="F221" s="4" t="s">
        <v>106</v>
      </c>
      <c r="G221" s="4" t="s">
        <v>107</v>
      </c>
      <c r="H221" s="4" t="s">
        <v>108</v>
      </c>
      <c r="I221" s="4" t="s">
        <v>109</v>
      </c>
      <c r="J221" s="4" t="s">
        <v>110</v>
      </c>
      <c r="K221" s="4" t="s">
        <v>111</v>
      </c>
      <c r="L221" s="4" t="s">
        <v>112</v>
      </c>
      <c r="M221" s="4"/>
    </row>
    <row r="222" spans="2:13" x14ac:dyDescent="0.55000000000000004">
      <c r="B222" s="9" t="s">
        <v>328</v>
      </c>
      <c r="C222" s="5"/>
      <c r="D222" s="4"/>
      <c r="E222" s="4"/>
      <c r="F222" s="4"/>
      <c r="G222" s="4"/>
      <c r="H222" s="4"/>
      <c r="I222" s="4"/>
      <c r="J222" s="4"/>
      <c r="K222" s="4"/>
      <c r="L222" s="4"/>
      <c r="M222" s="4"/>
    </row>
    <row r="223" spans="2:13" x14ac:dyDescent="0.55000000000000004">
      <c r="B223" s="9" t="s">
        <v>327</v>
      </c>
      <c r="C223" s="5"/>
      <c r="D223" s="4"/>
      <c r="E223" s="4"/>
      <c r="F223" s="4"/>
      <c r="G223" s="4"/>
      <c r="H223" s="4"/>
      <c r="I223" s="4"/>
      <c r="J223" s="4"/>
      <c r="K223" s="4"/>
      <c r="L223" s="4"/>
      <c r="M223" s="4"/>
    </row>
    <row r="224" spans="2:13" x14ac:dyDescent="0.55000000000000004">
      <c r="B224" s="9" t="s">
        <v>459</v>
      </c>
      <c r="C224" s="5"/>
      <c r="D224" s="4"/>
      <c r="E224" s="4"/>
      <c r="F224" s="4"/>
      <c r="G224" s="4"/>
      <c r="H224" s="4"/>
      <c r="I224" s="4"/>
      <c r="J224" s="4"/>
      <c r="K224" s="4"/>
      <c r="L224" s="4"/>
      <c r="M224" s="4"/>
    </row>
    <row r="225" spans="2:13" x14ac:dyDescent="0.55000000000000004">
      <c r="B225" s="9" t="s">
        <v>480</v>
      </c>
      <c r="C225" s="5"/>
      <c r="D225" s="4"/>
      <c r="E225" s="4"/>
      <c r="F225" s="4"/>
      <c r="G225" s="4"/>
      <c r="H225" s="4"/>
      <c r="I225" s="4"/>
      <c r="J225" s="4"/>
      <c r="K225" s="4"/>
      <c r="L225" s="4"/>
      <c r="M225" s="4"/>
    </row>
    <row r="226" spans="2:13" x14ac:dyDescent="0.55000000000000004">
      <c r="B226" s="9" t="s">
        <v>482</v>
      </c>
      <c r="C226" s="5"/>
      <c r="D226" s="4"/>
      <c r="E226" s="4"/>
      <c r="F226" s="4"/>
      <c r="G226" s="4"/>
      <c r="H226" s="4"/>
      <c r="I226" s="4"/>
      <c r="J226" s="4"/>
      <c r="K226" s="4"/>
      <c r="L226" s="4"/>
      <c r="M226" s="4"/>
    </row>
    <row r="227" spans="2:13" x14ac:dyDescent="0.55000000000000004">
      <c r="B227" s="9" t="s">
        <v>460</v>
      </c>
      <c r="C227" s="5"/>
      <c r="D227" s="4"/>
      <c r="E227" s="4"/>
      <c r="F227" s="4"/>
      <c r="G227" s="4"/>
      <c r="H227" s="4"/>
      <c r="I227" s="4"/>
      <c r="J227" s="4"/>
      <c r="K227" s="4"/>
      <c r="L227" s="4"/>
      <c r="M227" s="4"/>
    </row>
    <row r="228" spans="2:13" x14ac:dyDescent="0.55000000000000004">
      <c r="B228" s="9" t="s">
        <v>481</v>
      </c>
      <c r="C228" s="5"/>
      <c r="D228" s="4"/>
      <c r="E228" s="4"/>
      <c r="F228" s="4"/>
      <c r="G228" s="4"/>
      <c r="H228" s="4"/>
      <c r="I228" s="4"/>
      <c r="J228" s="4"/>
      <c r="K228" s="4"/>
      <c r="L228" s="4"/>
      <c r="M228" s="4"/>
    </row>
    <row r="229" spans="2:13" x14ac:dyDescent="0.55000000000000004">
      <c r="B229" s="9" t="s">
        <v>483</v>
      </c>
      <c r="C229" s="5"/>
      <c r="D229" s="4"/>
      <c r="E229" s="4"/>
      <c r="F229" s="4"/>
      <c r="G229" s="4"/>
      <c r="H229" s="4"/>
      <c r="I229" s="4"/>
      <c r="J229" s="4"/>
      <c r="K229" s="4"/>
      <c r="L229" s="4"/>
      <c r="M229" s="4"/>
    </row>
    <row r="230" spans="2:13" x14ac:dyDescent="0.55000000000000004">
      <c r="B230" s="9" t="s">
        <v>461</v>
      </c>
      <c r="C230" s="5"/>
      <c r="D230" s="4"/>
      <c r="E230" s="4"/>
      <c r="F230" s="4"/>
      <c r="G230" s="4"/>
      <c r="H230" s="4"/>
      <c r="I230" s="4"/>
      <c r="J230" s="4"/>
      <c r="K230" s="4"/>
      <c r="L230" s="4"/>
      <c r="M230" s="4"/>
    </row>
    <row r="231" spans="2:13" x14ac:dyDescent="0.55000000000000004">
      <c r="B231" s="9" t="s">
        <v>462</v>
      </c>
      <c r="C231" s="5"/>
      <c r="D231" s="4"/>
      <c r="E231" s="4"/>
      <c r="F231" s="4"/>
      <c r="G231" s="4"/>
      <c r="H231" s="4"/>
      <c r="I231" s="4"/>
      <c r="J231" s="4"/>
      <c r="K231" s="4"/>
      <c r="L231" s="4"/>
      <c r="M231" s="4"/>
    </row>
    <row r="232" spans="2:13" x14ac:dyDescent="0.55000000000000004">
      <c r="B232" s="9" t="s">
        <v>476</v>
      </c>
      <c r="C232" s="5"/>
      <c r="D232" s="4"/>
      <c r="E232" s="4"/>
      <c r="F232" s="4"/>
      <c r="G232" s="4"/>
      <c r="H232" s="4"/>
      <c r="I232" s="4"/>
      <c r="J232" s="4"/>
      <c r="K232" s="4"/>
      <c r="L232" s="4"/>
      <c r="M232" s="4"/>
    </row>
    <row r="233" spans="2:13" x14ac:dyDescent="0.55000000000000004">
      <c r="B233" s="9" t="s">
        <v>477</v>
      </c>
      <c r="C233" s="5"/>
      <c r="D233" s="4"/>
      <c r="E233" s="4"/>
      <c r="F233" s="4"/>
      <c r="G233" s="4"/>
      <c r="H233" s="4"/>
      <c r="I233" s="4"/>
      <c r="J233" s="4"/>
      <c r="K233" s="4"/>
      <c r="L233" s="4"/>
      <c r="M233" s="4"/>
    </row>
    <row r="234" spans="2:13" x14ac:dyDescent="0.55000000000000004">
      <c r="B234" s="9" t="s">
        <v>478</v>
      </c>
      <c r="C234" s="5"/>
      <c r="D234" s="4"/>
      <c r="E234" s="4"/>
      <c r="F234" s="4"/>
      <c r="G234" s="4"/>
      <c r="H234" s="4"/>
      <c r="I234" s="4"/>
      <c r="J234" s="4"/>
      <c r="K234" s="4"/>
      <c r="L234" s="4"/>
      <c r="M234" s="4"/>
    </row>
    <row r="235" spans="2:13" x14ac:dyDescent="0.55000000000000004">
      <c r="B235" s="9" t="s">
        <v>479</v>
      </c>
      <c r="C235" s="5"/>
      <c r="D235" s="4"/>
      <c r="E235" s="4"/>
      <c r="F235" s="4"/>
      <c r="G235" s="4"/>
      <c r="H235" s="4"/>
      <c r="I235" s="4"/>
      <c r="J235" s="4"/>
      <c r="K235" s="4"/>
      <c r="L235" s="4"/>
      <c r="M235" s="4"/>
    </row>
    <row r="236" spans="2:13" x14ac:dyDescent="0.55000000000000004">
      <c r="B236" s="9" t="s">
        <v>466</v>
      </c>
      <c r="C236" s="5"/>
      <c r="D236" s="4"/>
      <c r="E236" s="4"/>
      <c r="F236" s="4"/>
      <c r="G236" s="4"/>
      <c r="H236" s="4"/>
      <c r="I236" s="4"/>
      <c r="J236" s="4"/>
      <c r="K236" s="4"/>
      <c r="L236" s="4"/>
      <c r="M236" s="4"/>
    </row>
    <row r="237" spans="2:13" x14ac:dyDescent="0.55000000000000004">
      <c r="B237" s="9" t="s">
        <v>1215</v>
      </c>
      <c r="C237" s="5"/>
      <c r="D237" s="4"/>
      <c r="E237" s="4"/>
      <c r="F237" s="4"/>
      <c r="G237" s="4"/>
      <c r="H237" s="4"/>
      <c r="I237" s="4"/>
      <c r="J237" s="4"/>
      <c r="K237" s="4"/>
      <c r="L237" s="4"/>
      <c r="M237" s="4"/>
    </row>
    <row r="238" spans="2:13" x14ac:dyDescent="0.55000000000000004">
      <c r="B238" s="9" t="s">
        <v>475</v>
      </c>
      <c r="C238" s="5"/>
      <c r="D238" s="4"/>
      <c r="E238" s="4"/>
      <c r="F238" s="4"/>
      <c r="G238" s="4"/>
      <c r="H238" s="4"/>
      <c r="I238" s="4"/>
      <c r="J238" s="4"/>
      <c r="K238" s="4"/>
      <c r="L238" s="4"/>
      <c r="M238" s="4"/>
    </row>
    <row r="239" spans="2:13" x14ac:dyDescent="0.55000000000000004">
      <c r="B239" s="9" t="s">
        <v>472</v>
      </c>
      <c r="C239" s="5"/>
      <c r="D239" s="4"/>
      <c r="E239" s="4"/>
      <c r="F239" s="4"/>
      <c r="G239" s="4"/>
      <c r="H239" s="4"/>
      <c r="I239" s="4"/>
      <c r="J239" s="4"/>
      <c r="K239" s="4"/>
      <c r="L239" s="4"/>
      <c r="M239" s="4"/>
    </row>
    <row r="240" spans="2:13" x14ac:dyDescent="0.55000000000000004">
      <c r="B240" s="9" t="s">
        <v>474</v>
      </c>
      <c r="C240" s="5"/>
      <c r="D240" s="4"/>
      <c r="E240" s="4"/>
      <c r="F240" s="4"/>
      <c r="G240" s="4"/>
      <c r="H240" s="4"/>
      <c r="I240" s="4"/>
      <c r="J240" s="4"/>
      <c r="K240" s="4"/>
      <c r="L240" s="4"/>
      <c r="M240" s="4"/>
    </row>
    <row r="241" spans="2:13" x14ac:dyDescent="0.55000000000000004">
      <c r="B241" s="9" t="s">
        <v>473</v>
      </c>
      <c r="C241" s="5"/>
      <c r="D241" s="4"/>
      <c r="E241" s="4"/>
      <c r="F241" s="4"/>
      <c r="G241" s="4"/>
      <c r="H241" s="4"/>
      <c r="I241" s="4"/>
      <c r="J241" s="4"/>
      <c r="K241" s="4"/>
      <c r="L241" s="4"/>
      <c r="M241" s="4"/>
    </row>
    <row r="242" spans="2:13" x14ac:dyDescent="0.55000000000000004">
      <c r="B242" s="9" t="s">
        <v>365</v>
      </c>
      <c r="C242" s="5"/>
      <c r="D242" s="4"/>
      <c r="E242" s="4"/>
      <c r="F242" s="4"/>
      <c r="G242" s="4"/>
      <c r="H242" s="4"/>
      <c r="I242" s="4"/>
      <c r="J242" s="4"/>
      <c r="K242" s="4"/>
      <c r="L242" s="4"/>
      <c r="M242" s="4"/>
    </row>
    <row r="243" spans="2:13" x14ac:dyDescent="0.55000000000000004">
      <c r="B243" s="9" t="s">
        <v>484</v>
      </c>
      <c r="C243" s="5"/>
      <c r="D243" s="4"/>
      <c r="E243" s="4"/>
      <c r="F243" s="4"/>
      <c r="G243" s="4"/>
      <c r="H243" s="4"/>
      <c r="I243" s="4"/>
      <c r="J243" s="4"/>
      <c r="K243" s="4"/>
      <c r="L243" s="4"/>
      <c r="M243" s="4"/>
    </row>
    <row r="244" spans="2:13" x14ac:dyDescent="0.55000000000000004">
      <c r="B244" s="9" t="s">
        <v>485</v>
      </c>
      <c r="C244" s="5"/>
      <c r="D244" s="4"/>
      <c r="E244" s="4"/>
      <c r="F244" s="4"/>
      <c r="G244" s="4"/>
      <c r="H244" s="4"/>
      <c r="I244" s="4"/>
      <c r="J244" s="4"/>
      <c r="K244" s="4"/>
      <c r="L244" s="4"/>
      <c r="M244" s="4"/>
    </row>
    <row r="245" spans="2:13" x14ac:dyDescent="0.55000000000000004">
      <c r="B245" s="9" t="s">
        <v>486</v>
      </c>
      <c r="C245" s="5"/>
      <c r="D245" s="4"/>
      <c r="E245" s="4"/>
      <c r="F245" s="4"/>
      <c r="G245" s="4"/>
      <c r="H245" s="4"/>
      <c r="I245" s="4"/>
      <c r="J245" s="4"/>
      <c r="K245" s="4"/>
      <c r="L245" s="4"/>
      <c r="M245" s="4"/>
    </row>
    <row r="246" spans="2:13" x14ac:dyDescent="0.55000000000000004">
      <c r="B246" s="9" t="s">
        <v>487</v>
      </c>
      <c r="C246" s="5"/>
      <c r="D246" s="4"/>
      <c r="E246" s="4"/>
      <c r="F246" s="4"/>
      <c r="G246" s="4"/>
      <c r="H246" s="4"/>
      <c r="I246" s="4"/>
      <c r="J246" s="4"/>
      <c r="K246" s="4"/>
      <c r="L246" s="4"/>
      <c r="M246" s="4"/>
    </row>
    <row r="247" spans="2:13" x14ac:dyDescent="0.55000000000000004">
      <c r="B247" s="9" t="s">
        <v>366</v>
      </c>
      <c r="C247" s="5"/>
      <c r="D247" s="4"/>
      <c r="E247" s="4"/>
      <c r="F247" s="4"/>
      <c r="G247" s="4"/>
      <c r="H247" s="4"/>
      <c r="I247" s="4"/>
      <c r="J247" s="4"/>
      <c r="K247" s="4"/>
      <c r="L247" s="4"/>
      <c r="M247" s="4"/>
    </row>
    <row r="248" spans="2:13" x14ac:dyDescent="0.55000000000000004">
      <c r="B248" s="9" t="s">
        <v>468</v>
      </c>
      <c r="C248" s="5"/>
      <c r="D248" s="4"/>
      <c r="E248" s="4"/>
      <c r="F248" s="4"/>
      <c r="G248" s="4"/>
      <c r="H248" s="4"/>
      <c r="I248" s="4"/>
      <c r="J248" s="4"/>
      <c r="K248" s="4"/>
      <c r="L248" s="4"/>
      <c r="M248" s="4"/>
    </row>
    <row r="249" spans="2:13" x14ac:dyDescent="0.55000000000000004">
      <c r="B249" s="9" t="s">
        <v>1216</v>
      </c>
      <c r="C249" s="5"/>
      <c r="D249" s="4"/>
      <c r="E249" s="4"/>
      <c r="F249" s="4"/>
      <c r="G249" s="4"/>
      <c r="H249" s="4"/>
      <c r="I249" s="4"/>
      <c r="J249" s="4"/>
      <c r="K249" s="4"/>
      <c r="L249" s="4"/>
      <c r="M249" s="4"/>
    </row>
    <row r="250" spans="2:13" x14ac:dyDescent="0.55000000000000004">
      <c r="B250" s="9" t="s">
        <v>469</v>
      </c>
      <c r="C250" s="5"/>
      <c r="D250" s="4"/>
      <c r="E250" s="4"/>
      <c r="F250" s="4"/>
      <c r="G250" s="4"/>
      <c r="H250" s="4"/>
      <c r="I250" s="4"/>
      <c r="J250" s="4"/>
      <c r="K250" s="4"/>
      <c r="L250" s="4"/>
      <c r="M250" s="4"/>
    </row>
    <row r="251" spans="2:13" x14ac:dyDescent="0.55000000000000004">
      <c r="B251" s="9" t="s">
        <v>470</v>
      </c>
      <c r="C251" s="5"/>
      <c r="D251" s="4"/>
      <c r="E251" s="4"/>
      <c r="F251" s="4"/>
      <c r="G251" s="4"/>
      <c r="H251" s="4"/>
      <c r="I251" s="4"/>
      <c r="J251" s="4"/>
      <c r="K251" s="4"/>
      <c r="L251" s="4"/>
      <c r="M251" s="4"/>
    </row>
    <row r="252" spans="2:13" x14ac:dyDescent="0.55000000000000004">
      <c r="B252" s="9" t="s">
        <v>471</v>
      </c>
      <c r="C252" s="5"/>
      <c r="D252" s="4"/>
      <c r="E252" s="4"/>
      <c r="F252" s="4"/>
      <c r="G252" s="4"/>
      <c r="H252" s="4"/>
      <c r="I252" s="4"/>
      <c r="J252" s="4"/>
      <c r="K252" s="4"/>
      <c r="L252" s="4"/>
      <c r="M252" s="4"/>
    </row>
    <row r="253" spans="2:13" x14ac:dyDescent="0.55000000000000004">
      <c r="B253" s="16"/>
      <c r="C253" s="4" t="s">
        <v>458</v>
      </c>
      <c r="D253" s="4"/>
      <c r="E253" s="4"/>
      <c r="F253" s="4"/>
      <c r="G253" s="4"/>
      <c r="H253" s="4"/>
      <c r="I253" s="4"/>
      <c r="J253" s="4"/>
      <c r="K253" s="4"/>
      <c r="L253" s="4"/>
      <c r="M253" s="4"/>
    </row>
    <row r="254" spans="2:13" x14ac:dyDescent="0.55000000000000004">
      <c r="B254" s="61" t="s">
        <v>274</v>
      </c>
      <c r="C254" s="20" t="s">
        <v>264</v>
      </c>
      <c r="D254" s="4" t="s">
        <v>265</v>
      </c>
      <c r="E254" s="4" t="s">
        <v>266</v>
      </c>
      <c r="F254" s="4" t="s">
        <v>267</v>
      </c>
      <c r="G254" s="4" t="s">
        <v>268</v>
      </c>
      <c r="H254" s="4" t="s">
        <v>269</v>
      </c>
      <c r="I254" s="4" t="s">
        <v>270</v>
      </c>
      <c r="J254" s="4" t="s">
        <v>271</v>
      </c>
      <c r="K254" s="4" t="s">
        <v>272</v>
      </c>
      <c r="L254" s="4" t="s">
        <v>273</v>
      </c>
      <c r="M254" s="4"/>
    </row>
    <row r="255" spans="2:13" x14ac:dyDescent="0.55000000000000004">
      <c r="B255" s="9" t="s">
        <v>495</v>
      </c>
      <c r="C255" s="5"/>
      <c r="D255" s="4"/>
      <c r="E255" s="4"/>
      <c r="F255" s="4"/>
      <c r="G255" s="4"/>
      <c r="H255" s="4"/>
      <c r="I255" s="4"/>
      <c r="J255" s="4"/>
      <c r="K255" s="4"/>
      <c r="L255" s="4"/>
      <c r="M255" s="4"/>
    </row>
    <row r="256" spans="2:13" x14ac:dyDescent="0.55000000000000004">
      <c r="B256" s="9" t="s">
        <v>496</v>
      </c>
      <c r="C256" s="5"/>
      <c r="D256" s="4"/>
      <c r="E256" s="4"/>
      <c r="F256" s="4"/>
      <c r="G256" s="4"/>
      <c r="H256" s="4"/>
      <c r="I256" s="4"/>
      <c r="J256" s="4"/>
      <c r="K256" s="4"/>
      <c r="L256" s="4"/>
      <c r="M256" s="4"/>
    </row>
    <row r="257" spans="2:13" x14ac:dyDescent="0.55000000000000004">
      <c r="B257" s="9" t="s">
        <v>497</v>
      </c>
      <c r="C257" s="5"/>
      <c r="D257" s="4"/>
      <c r="E257" s="4"/>
      <c r="F257" s="4"/>
      <c r="G257" s="4"/>
      <c r="H257" s="4"/>
      <c r="I257" s="4"/>
      <c r="J257" s="4"/>
      <c r="K257" s="4"/>
      <c r="L257" s="4"/>
      <c r="M257" s="4"/>
    </row>
    <row r="258" spans="2:13" x14ac:dyDescent="0.55000000000000004">
      <c r="B258" s="9" t="s">
        <v>498</v>
      </c>
      <c r="C258" s="5"/>
      <c r="D258" s="4"/>
      <c r="E258" s="4"/>
      <c r="F258" s="4"/>
      <c r="G258" s="4"/>
      <c r="H258" s="4"/>
      <c r="I258" s="4"/>
      <c r="J258" s="4"/>
      <c r="K258" s="4"/>
      <c r="L258" s="4"/>
      <c r="M258" s="4"/>
    </row>
    <row r="259" spans="2:13" x14ac:dyDescent="0.55000000000000004">
      <c r="B259" s="9" t="s">
        <v>499</v>
      </c>
      <c r="C259" s="5"/>
      <c r="D259" s="4"/>
      <c r="E259" s="4"/>
      <c r="F259" s="4"/>
      <c r="G259" s="4"/>
      <c r="H259" s="4"/>
      <c r="I259" s="4"/>
      <c r="J259" s="4"/>
      <c r="K259" s="4"/>
      <c r="L259" s="4"/>
      <c r="M259" s="4"/>
    </row>
    <row r="260" spans="2:13" x14ac:dyDescent="0.55000000000000004">
      <c r="B260" s="9" t="s">
        <v>500</v>
      </c>
      <c r="C260" s="5"/>
      <c r="D260" s="4"/>
      <c r="E260" s="4"/>
      <c r="F260" s="4"/>
      <c r="G260" s="4"/>
      <c r="H260" s="4"/>
      <c r="I260" s="4"/>
      <c r="J260" s="4"/>
      <c r="K260" s="4"/>
      <c r="L260" s="4"/>
      <c r="M260" s="4"/>
    </row>
    <row r="261" spans="2:13" x14ac:dyDescent="0.55000000000000004">
      <c r="B261" s="9" t="s">
        <v>501</v>
      </c>
      <c r="C261" s="5"/>
      <c r="D261" s="4"/>
      <c r="E261" s="4"/>
      <c r="F261" s="4"/>
      <c r="G261" s="4"/>
      <c r="H261" s="4"/>
      <c r="I261" s="4"/>
      <c r="J261" s="4"/>
      <c r="K261" s="4"/>
      <c r="L261" s="4"/>
      <c r="M261" s="4"/>
    </row>
    <row r="262" spans="2:13" x14ac:dyDescent="0.55000000000000004">
      <c r="B262" s="9" t="s">
        <v>502</v>
      </c>
      <c r="C262" s="5"/>
      <c r="D262" s="4"/>
      <c r="E262" s="4"/>
      <c r="F262" s="4"/>
      <c r="G262" s="4"/>
      <c r="H262" s="4"/>
      <c r="I262" s="4"/>
      <c r="J262" s="4"/>
      <c r="K262" s="4"/>
      <c r="L262" s="4"/>
      <c r="M262" s="4"/>
    </row>
    <row r="263" spans="2:13" x14ac:dyDescent="0.55000000000000004">
      <c r="B263" s="9" t="s">
        <v>503</v>
      </c>
      <c r="C263" s="1"/>
      <c r="D263" s="4"/>
      <c r="E263" s="4"/>
      <c r="F263" s="4"/>
      <c r="G263" s="4"/>
      <c r="H263" s="4"/>
      <c r="I263" s="4"/>
      <c r="J263" s="4"/>
      <c r="K263" s="4"/>
      <c r="L263" s="4"/>
      <c r="M263" s="4"/>
    </row>
    <row r="264" spans="2:13" x14ac:dyDescent="0.55000000000000004">
      <c r="B264" s="9" t="s">
        <v>504</v>
      </c>
      <c r="C264" s="5"/>
      <c r="D264" s="4"/>
      <c r="E264" s="4"/>
      <c r="F264" s="4"/>
      <c r="G264" s="4"/>
      <c r="H264" s="4"/>
      <c r="I264" s="4"/>
      <c r="J264" s="4"/>
      <c r="K264" s="4"/>
      <c r="L264" s="4"/>
      <c r="M264" s="4"/>
    </row>
    <row r="265" spans="2:13" x14ac:dyDescent="0.55000000000000004">
      <c r="B265" s="9" t="s">
        <v>505</v>
      </c>
      <c r="C265" s="5"/>
      <c r="D265" s="4"/>
      <c r="E265" s="4"/>
      <c r="F265" s="4"/>
      <c r="G265" s="4"/>
      <c r="H265" s="4"/>
      <c r="I265" s="4"/>
      <c r="J265" s="4"/>
      <c r="K265" s="4"/>
      <c r="L265" s="4"/>
      <c r="M265" s="4"/>
    </row>
    <row r="266" spans="2:13" x14ac:dyDescent="0.55000000000000004">
      <c r="B266" s="9" t="s">
        <v>506</v>
      </c>
      <c r="C266" s="5"/>
      <c r="D266" s="4"/>
      <c r="E266" s="4"/>
      <c r="F266" s="4"/>
      <c r="G266" s="4"/>
      <c r="H266" s="4"/>
      <c r="I266" s="4"/>
      <c r="J266" s="4"/>
      <c r="K266" s="4"/>
      <c r="L266" s="4"/>
      <c r="M266" s="4"/>
    </row>
    <row r="267" spans="2:13" x14ac:dyDescent="0.55000000000000004">
      <c r="B267" s="9" t="s">
        <v>507</v>
      </c>
      <c r="C267" s="5"/>
      <c r="D267" s="4"/>
      <c r="E267" s="4"/>
      <c r="F267" s="4"/>
      <c r="G267" s="4"/>
      <c r="H267" s="4"/>
      <c r="I267" s="4"/>
      <c r="J267" s="4"/>
      <c r="K267" s="4"/>
      <c r="L267" s="4"/>
      <c r="M267" s="4"/>
    </row>
    <row r="268" spans="2:13" x14ac:dyDescent="0.55000000000000004">
      <c r="B268" s="9" t="s">
        <v>508</v>
      </c>
      <c r="C268" s="5"/>
      <c r="D268" s="4"/>
      <c r="E268" s="4"/>
      <c r="F268" s="4"/>
      <c r="G268" s="4"/>
      <c r="H268" s="4"/>
      <c r="I268" s="4"/>
      <c r="J268" s="4"/>
      <c r="K268" s="4"/>
      <c r="L268" s="4"/>
      <c r="M268" s="4"/>
    </row>
    <row r="269" spans="2:13" x14ac:dyDescent="0.55000000000000004">
      <c r="B269" s="9" t="s">
        <v>367</v>
      </c>
      <c r="C269" s="5"/>
      <c r="D269" s="4"/>
      <c r="E269" s="4"/>
      <c r="F269" s="4"/>
      <c r="G269" s="4"/>
      <c r="H269" s="4"/>
      <c r="I269" s="4"/>
      <c r="J269" s="4"/>
      <c r="K269" s="4"/>
      <c r="L269" s="4"/>
      <c r="M269" s="4"/>
    </row>
    <row r="270" spans="2:13" x14ac:dyDescent="0.55000000000000004">
      <c r="B270" s="16"/>
      <c r="C270" s="4" t="s">
        <v>458</v>
      </c>
      <c r="D270" s="4"/>
      <c r="E270" s="4"/>
      <c r="F270" s="4"/>
      <c r="G270" s="4"/>
      <c r="H270" s="4"/>
      <c r="I270" s="4"/>
      <c r="J270" s="4"/>
      <c r="K270" s="4"/>
      <c r="L270" s="4"/>
      <c r="M270" s="4"/>
    </row>
    <row r="271" spans="2:13" x14ac:dyDescent="0.55000000000000004">
      <c r="B271" s="61" t="s">
        <v>231</v>
      </c>
      <c r="C271" s="4" t="s">
        <v>232</v>
      </c>
      <c r="D271" s="4" t="s">
        <v>233</v>
      </c>
      <c r="E271" s="4" t="s">
        <v>234</v>
      </c>
      <c r="F271" s="4" t="s">
        <v>1005</v>
      </c>
      <c r="G271" s="4" t="s">
        <v>1006</v>
      </c>
      <c r="H271" s="4" t="s">
        <v>1007</v>
      </c>
      <c r="I271" s="4" t="s">
        <v>1008</v>
      </c>
      <c r="J271" s="4" t="s">
        <v>1009</v>
      </c>
      <c r="K271" s="4" t="s">
        <v>1010</v>
      </c>
      <c r="L271" s="4" t="s">
        <v>1011</v>
      </c>
      <c r="M271" s="4"/>
    </row>
    <row r="272" spans="2:13" x14ac:dyDescent="0.55000000000000004">
      <c r="B272" s="9" t="s">
        <v>235</v>
      </c>
      <c r="C272" s="5"/>
      <c r="D272" s="4"/>
      <c r="E272" s="4"/>
      <c r="F272" s="4"/>
      <c r="G272" s="4"/>
      <c r="H272" s="4"/>
      <c r="I272" s="4"/>
      <c r="J272" s="4"/>
      <c r="K272" s="4"/>
      <c r="L272" s="4"/>
      <c r="M272" s="4"/>
    </row>
    <row r="273" spans="2:13" x14ac:dyDescent="0.55000000000000004">
      <c r="B273" s="9" t="s">
        <v>1217</v>
      </c>
      <c r="C273" s="5"/>
      <c r="D273" s="4"/>
      <c r="E273" s="4"/>
      <c r="F273" s="4"/>
      <c r="G273" s="4"/>
      <c r="H273" s="4"/>
      <c r="I273" s="4"/>
      <c r="J273" s="4"/>
      <c r="K273" s="4"/>
      <c r="L273" s="4"/>
      <c r="M273" s="4"/>
    </row>
    <row r="274" spans="2:13" x14ac:dyDescent="0.55000000000000004">
      <c r="B274" s="9" t="s">
        <v>236</v>
      </c>
      <c r="C274" s="5"/>
      <c r="D274" s="4"/>
      <c r="E274" s="4"/>
      <c r="F274" s="4"/>
      <c r="G274" s="4"/>
      <c r="H274" s="4"/>
      <c r="I274" s="4"/>
      <c r="J274" s="4"/>
      <c r="K274" s="4"/>
      <c r="L274" s="4"/>
      <c r="M274" s="4"/>
    </row>
    <row r="275" spans="2:13" x14ac:dyDescent="0.55000000000000004">
      <c r="B275" s="16"/>
      <c r="C275" s="4" t="s">
        <v>458</v>
      </c>
      <c r="D275" s="4"/>
      <c r="E275" s="4"/>
      <c r="F275" s="4"/>
      <c r="G275" s="4"/>
      <c r="H275" s="4"/>
      <c r="I275" s="4"/>
      <c r="J275" s="4"/>
      <c r="K275" s="4"/>
      <c r="L275" s="4"/>
      <c r="M275" s="4"/>
    </row>
    <row r="276" spans="2:13" x14ac:dyDescent="0.55000000000000004">
      <c r="B276" s="61" t="s">
        <v>219</v>
      </c>
      <c r="C276" s="4" t="s">
        <v>221</v>
      </c>
      <c r="D276" s="4" t="s">
        <v>222</v>
      </c>
      <c r="E276" s="4" t="s">
        <v>223</v>
      </c>
      <c r="F276" s="4" t="s">
        <v>224</v>
      </c>
      <c r="G276" s="4" t="s">
        <v>225</v>
      </c>
      <c r="H276" s="4" t="s">
        <v>226</v>
      </c>
      <c r="I276" s="4" t="s">
        <v>227</v>
      </c>
      <c r="J276" s="4" t="s">
        <v>228</v>
      </c>
      <c r="K276" s="4" t="s">
        <v>229</v>
      </c>
      <c r="L276" s="4" t="s">
        <v>230</v>
      </c>
      <c r="M276" s="4"/>
    </row>
    <row r="277" spans="2:13" x14ac:dyDescent="0.55000000000000004">
      <c r="B277" s="9" t="s">
        <v>509</v>
      </c>
      <c r="C277" s="5"/>
      <c r="D277" s="4"/>
      <c r="E277" s="4"/>
      <c r="F277" s="4"/>
      <c r="G277" s="4"/>
      <c r="H277" s="4"/>
      <c r="I277" s="4"/>
      <c r="J277" s="4"/>
      <c r="K277" s="4"/>
      <c r="L277" s="4"/>
      <c r="M277" s="4"/>
    </row>
    <row r="278" spans="2:13" x14ac:dyDescent="0.55000000000000004">
      <c r="B278" s="9" t="s">
        <v>1218</v>
      </c>
      <c r="C278" s="5"/>
      <c r="D278" s="4"/>
      <c r="E278" s="4"/>
      <c r="F278" s="4"/>
      <c r="G278" s="4"/>
      <c r="H278" s="4"/>
      <c r="I278" s="4"/>
      <c r="J278" s="4"/>
      <c r="K278" s="4"/>
      <c r="L278" s="4"/>
      <c r="M278" s="4"/>
    </row>
    <row r="279" spans="2:13" x14ac:dyDescent="0.55000000000000004">
      <c r="B279" s="9" t="s">
        <v>220</v>
      </c>
      <c r="C279" s="5"/>
      <c r="D279" s="4"/>
      <c r="E279" s="4"/>
      <c r="F279" s="4"/>
      <c r="G279" s="4"/>
      <c r="H279" s="4"/>
      <c r="I279" s="4"/>
      <c r="J279" s="4"/>
      <c r="K279" s="4"/>
      <c r="L279" s="4"/>
      <c r="M279" s="4"/>
    </row>
    <row r="280" spans="2:13" x14ac:dyDescent="0.55000000000000004">
      <c r="B280" s="9" t="s">
        <v>368</v>
      </c>
      <c r="C280" s="5"/>
      <c r="D280" s="4"/>
      <c r="E280" s="4"/>
      <c r="F280" s="4"/>
      <c r="G280" s="4"/>
      <c r="H280" s="4"/>
      <c r="I280" s="4"/>
      <c r="J280" s="4"/>
      <c r="K280" s="4"/>
      <c r="L280" s="4"/>
      <c r="M280" s="4"/>
    </row>
    <row r="281" spans="2:13" x14ac:dyDescent="0.55000000000000004">
      <c r="B281" s="9" t="s">
        <v>369</v>
      </c>
      <c r="C281" s="5"/>
      <c r="D281" s="4"/>
      <c r="E281" s="4"/>
      <c r="F281" s="4"/>
      <c r="G281" s="4"/>
      <c r="H281" s="4"/>
      <c r="I281" s="4"/>
      <c r="J281" s="4"/>
      <c r="K281" s="4"/>
      <c r="L281" s="4"/>
      <c r="M281" s="4"/>
    </row>
    <row r="282" spans="2:13" x14ac:dyDescent="0.55000000000000004">
      <c r="B282" s="16"/>
      <c r="C282" s="4" t="s">
        <v>458</v>
      </c>
      <c r="D282" s="4"/>
      <c r="E282" s="4"/>
      <c r="F282" s="4"/>
      <c r="G282" s="4"/>
      <c r="H282" s="4"/>
      <c r="I282" s="4"/>
      <c r="J282" s="4"/>
      <c r="K282" s="4"/>
      <c r="L282" s="4"/>
      <c r="M282" s="4"/>
    </row>
    <row r="283" spans="2:13" x14ac:dyDescent="0.55000000000000004">
      <c r="B283" s="61" t="s">
        <v>391</v>
      </c>
      <c r="C283" s="4" t="s">
        <v>75</v>
      </c>
      <c r="D283" s="4" t="s">
        <v>186</v>
      </c>
      <c r="E283" s="4" t="s">
        <v>187</v>
      </c>
      <c r="F283" s="4" t="s">
        <v>188</v>
      </c>
      <c r="G283" s="4" t="s">
        <v>189</v>
      </c>
      <c r="H283" s="4" t="s">
        <v>190</v>
      </c>
      <c r="I283" s="4" t="s">
        <v>191</v>
      </c>
      <c r="J283" s="4" t="s">
        <v>192</v>
      </c>
      <c r="K283" s="4" t="s">
        <v>193</v>
      </c>
      <c r="L283" s="4" t="s">
        <v>194</v>
      </c>
      <c r="M283" s="4"/>
    </row>
    <row r="284" spans="2:13" x14ac:dyDescent="0.55000000000000004">
      <c r="B284" s="9" t="s">
        <v>214</v>
      </c>
      <c r="C284" s="5" t="s">
        <v>2250</v>
      </c>
      <c r="D284" s="4"/>
      <c r="E284" s="4"/>
      <c r="F284" s="4"/>
      <c r="G284" s="4"/>
      <c r="H284" s="4"/>
      <c r="I284" s="4"/>
      <c r="J284" s="4"/>
      <c r="K284" s="4"/>
      <c r="L284" s="4"/>
      <c r="M284" s="4"/>
    </row>
    <row r="285" spans="2:13" x14ac:dyDescent="0.55000000000000004">
      <c r="B285" s="9" t="s">
        <v>213</v>
      </c>
      <c r="C285" s="5" t="s">
        <v>982</v>
      </c>
      <c r="D285" s="4"/>
      <c r="E285" s="4"/>
      <c r="F285" s="4"/>
      <c r="G285" s="4"/>
      <c r="H285" s="4"/>
      <c r="I285" s="4"/>
      <c r="J285" s="4"/>
      <c r="K285" s="4"/>
      <c r="L285" s="4"/>
      <c r="M285" s="4"/>
    </row>
    <row r="286" spans="2:13" x14ac:dyDescent="0.55000000000000004">
      <c r="B286" s="9" t="s">
        <v>215</v>
      </c>
      <c r="C286" s="5">
        <v>3</v>
      </c>
      <c r="D286" s="4"/>
      <c r="E286" s="4"/>
      <c r="F286" s="4"/>
      <c r="G286" s="4"/>
      <c r="H286" s="4"/>
      <c r="I286" s="4"/>
      <c r="J286" s="4"/>
      <c r="K286" s="4"/>
      <c r="L286" s="4"/>
      <c r="M286" s="4"/>
    </row>
    <row r="287" spans="2:13" x14ac:dyDescent="0.55000000000000004">
      <c r="B287" s="9" t="s">
        <v>216</v>
      </c>
      <c r="C287" s="5">
        <v>0</v>
      </c>
      <c r="D287" s="4"/>
      <c r="E287" s="4"/>
      <c r="F287" s="4"/>
      <c r="G287" s="4"/>
      <c r="H287" s="4"/>
      <c r="I287" s="4"/>
      <c r="J287" s="4"/>
      <c r="K287" s="4"/>
      <c r="L287" s="4"/>
      <c r="M287" s="4"/>
    </row>
    <row r="288" spans="2:13" x14ac:dyDescent="0.55000000000000004">
      <c r="B288" s="9" t="s">
        <v>217</v>
      </c>
      <c r="C288" s="5">
        <v>0</v>
      </c>
      <c r="D288" s="4"/>
      <c r="E288" s="4"/>
      <c r="F288" s="4"/>
      <c r="G288" s="4"/>
      <c r="H288" s="4"/>
      <c r="I288" s="4"/>
      <c r="J288" s="4"/>
      <c r="K288" s="4"/>
      <c r="L288" s="4"/>
      <c r="M288" s="4"/>
    </row>
    <row r="289" spans="1:13" x14ac:dyDescent="0.55000000000000004">
      <c r="B289" s="9" t="s">
        <v>410</v>
      </c>
      <c r="C289" s="5" t="s">
        <v>2251</v>
      </c>
      <c r="D289" s="4"/>
      <c r="E289" s="4"/>
      <c r="F289" s="4"/>
      <c r="G289" s="4"/>
      <c r="H289" s="4"/>
      <c r="I289" s="4"/>
      <c r="J289" s="4"/>
      <c r="K289" s="4"/>
      <c r="L289" s="4"/>
      <c r="M289" s="4"/>
    </row>
    <row r="290" spans="1:13" x14ac:dyDescent="0.55000000000000004">
      <c r="B290" s="9" t="s">
        <v>1219</v>
      </c>
      <c r="C290" s="5" t="s">
        <v>2252</v>
      </c>
      <c r="D290" s="4"/>
      <c r="E290" s="4"/>
      <c r="F290" s="4"/>
      <c r="G290" s="4"/>
      <c r="H290" s="4"/>
      <c r="I290" s="4"/>
      <c r="J290" s="4"/>
      <c r="K290" s="4"/>
      <c r="L290" s="4"/>
      <c r="M290" s="4"/>
    </row>
    <row r="291" spans="1:13" x14ac:dyDescent="0.55000000000000004">
      <c r="B291" s="9" t="s">
        <v>411</v>
      </c>
      <c r="C291" s="5" t="s">
        <v>2253</v>
      </c>
      <c r="D291" s="4"/>
      <c r="E291" s="4"/>
      <c r="F291" s="4"/>
      <c r="G291" s="4"/>
      <c r="H291" s="4"/>
      <c r="I291" s="4"/>
      <c r="J291" s="4"/>
      <c r="K291" s="4"/>
      <c r="L291" s="4"/>
      <c r="M291" s="4"/>
    </row>
    <row r="292" spans="1:13" x14ac:dyDescent="0.55000000000000004">
      <c r="B292" s="16"/>
      <c r="C292" s="4" t="s">
        <v>458</v>
      </c>
      <c r="D292" s="4"/>
      <c r="E292" s="4"/>
      <c r="F292" s="4"/>
      <c r="G292" s="4"/>
      <c r="H292" s="4"/>
      <c r="I292" s="4"/>
      <c r="J292" s="4"/>
      <c r="K292" s="4"/>
      <c r="L292" s="4"/>
      <c r="M292" s="4"/>
    </row>
    <row r="293" spans="1:13" x14ac:dyDescent="0.55000000000000004">
      <c r="B293" s="61" t="s">
        <v>392</v>
      </c>
      <c r="C293" s="4" t="s">
        <v>23</v>
      </c>
      <c r="D293" s="4" t="s">
        <v>76</v>
      </c>
      <c r="E293" s="4" t="s">
        <v>77</v>
      </c>
      <c r="F293" s="4" t="s">
        <v>78</v>
      </c>
      <c r="G293" s="4" t="s">
        <v>79</v>
      </c>
      <c r="H293" s="4" t="s">
        <v>80</v>
      </c>
      <c r="I293" s="4" t="s">
        <v>81</v>
      </c>
      <c r="J293" s="4" t="s">
        <v>90</v>
      </c>
      <c r="K293" s="4" t="s">
        <v>91</v>
      </c>
      <c r="L293" s="4" t="s">
        <v>92</v>
      </c>
      <c r="M293" s="4"/>
    </row>
    <row r="294" spans="1:13" x14ac:dyDescent="0.55000000000000004">
      <c r="B294" s="9" t="s">
        <v>218</v>
      </c>
      <c r="C294" s="5" t="s">
        <v>998</v>
      </c>
      <c r="D294" s="5"/>
      <c r="E294" s="4"/>
      <c r="F294" s="4"/>
      <c r="G294" s="4"/>
      <c r="H294" s="4"/>
      <c r="I294" s="4"/>
      <c r="J294" s="4"/>
      <c r="K294" s="4"/>
      <c r="L294" s="4"/>
      <c r="M294" s="4"/>
    </row>
    <row r="295" spans="1:13" x14ac:dyDescent="0.55000000000000004">
      <c r="A295" s="2" t="s">
        <v>914</v>
      </c>
      <c r="B295" s="16"/>
      <c r="C295" s="4" t="s">
        <v>458</v>
      </c>
      <c r="D295" s="4"/>
      <c r="E295" s="4"/>
      <c r="F295" s="4"/>
      <c r="G295" s="4"/>
      <c r="H295" s="4"/>
      <c r="I295" s="4"/>
      <c r="J295" s="4"/>
      <c r="K295" s="4"/>
      <c r="L295" s="4"/>
      <c r="M295" s="4"/>
    </row>
    <row r="296" spans="1:13" x14ac:dyDescent="0.55000000000000004">
      <c r="A296" s="25" t="s">
        <v>915</v>
      </c>
      <c r="B296" s="61" t="s">
        <v>393</v>
      </c>
      <c r="C296" s="20" t="s">
        <v>126</v>
      </c>
      <c r="D296" s="4" t="s">
        <v>121</v>
      </c>
      <c r="E296" s="4" t="s">
        <v>122</v>
      </c>
      <c r="F296" s="4" t="s">
        <v>1012</v>
      </c>
      <c r="G296" s="4" t="s">
        <v>114</v>
      </c>
      <c r="H296" s="4" t="s">
        <v>115</v>
      </c>
      <c r="I296" s="4" t="s">
        <v>120</v>
      </c>
      <c r="J296" s="4" t="s">
        <v>119</v>
      </c>
      <c r="K296" s="4" t="s">
        <v>118</v>
      </c>
      <c r="L296" s="4" t="s">
        <v>117</v>
      </c>
      <c r="M296" s="4" t="s">
        <v>116</v>
      </c>
    </row>
    <row r="297" spans="1:13" x14ac:dyDescent="0.55000000000000004">
      <c r="A297" t="s">
        <v>510</v>
      </c>
      <c r="B297" s="9" t="s">
        <v>237</v>
      </c>
      <c r="C297" s="1" t="s">
        <v>2365</v>
      </c>
      <c r="D297" s="5" t="s">
        <v>2254</v>
      </c>
      <c r="E297" s="5">
        <v>1</v>
      </c>
      <c r="F297" s="5" t="s">
        <v>998</v>
      </c>
      <c r="G297" s="4"/>
      <c r="H297" s="4"/>
      <c r="I297" s="4"/>
      <c r="J297" s="4"/>
      <c r="K297" s="4"/>
      <c r="L297" s="4"/>
      <c r="M297" s="4"/>
    </row>
    <row r="298" spans="1:13" x14ac:dyDescent="0.55000000000000004">
      <c r="A298" t="s">
        <v>511</v>
      </c>
      <c r="B298" s="9" t="s">
        <v>28</v>
      </c>
      <c r="C298" s="1" t="s">
        <v>2366</v>
      </c>
      <c r="D298" s="5" t="s">
        <v>2255</v>
      </c>
      <c r="E298" s="5">
        <v>1</v>
      </c>
      <c r="F298" s="5" t="s">
        <v>998</v>
      </c>
      <c r="G298" s="4"/>
      <c r="H298" s="4"/>
      <c r="I298" s="4"/>
      <c r="J298" s="4"/>
      <c r="K298" s="4"/>
      <c r="L298" s="4"/>
      <c r="M298" s="4"/>
    </row>
    <row r="299" spans="1:13" x14ac:dyDescent="0.55000000000000004">
      <c r="A299" t="s">
        <v>512</v>
      </c>
      <c r="B299" s="9" t="s">
        <v>29</v>
      </c>
      <c r="C299" s="1" t="s">
        <v>2367</v>
      </c>
      <c r="D299" s="5" t="s">
        <v>2255</v>
      </c>
      <c r="E299" s="5">
        <v>1</v>
      </c>
      <c r="F299" s="5" t="s">
        <v>998</v>
      </c>
      <c r="G299" s="4"/>
      <c r="H299" s="4"/>
      <c r="I299" s="4"/>
      <c r="J299" s="4"/>
      <c r="K299" s="4"/>
      <c r="L299" s="4"/>
      <c r="M299" s="4"/>
    </row>
    <row r="300" spans="1:13" x14ac:dyDescent="0.55000000000000004">
      <c r="A300" t="s">
        <v>513</v>
      </c>
      <c r="B300" s="9" t="s">
        <v>30</v>
      </c>
      <c r="C300" s="1" t="s">
        <v>2368</v>
      </c>
      <c r="D300" s="5" t="s">
        <v>2255</v>
      </c>
      <c r="E300" s="5">
        <v>1</v>
      </c>
      <c r="F300" s="5" t="s">
        <v>998</v>
      </c>
      <c r="G300" s="4"/>
      <c r="H300" s="4"/>
      <c r="I300" s="4"/>
      <c r="J300" s="4"/>
      <c r="K300" s="4"/>
      <c r="L300" s="4"/>
      <c r="M300" s="4"/>
    </row>
    <row r="301" spans="1:13" x14ac:dyDescent="0.55000000000000004">
      <c r="A301"/>
      <c r="B301" s="9" t="s">
        <v>31</v>
      </c>
      <c r="C301" s="1" t="s">
        <v>2369</v>
      </c>
      <c r="D301" s="5" t="s">
        <v>2255</v>
      </c>
      <c r="E301" s="5">
        <v>1</v>
      </c>
      <c r="F301" s="5" t="s">
        <v>982</v>
      </c>
      <c r="G301" s="4"/>
      <c r="H301" s="4"/>
      <c r="I301" s="4"/>
      <c r="J301" s="4"/>
      <c r="K301" s="4"/>
      <c r="L301" s="4"/>
      <c r="M301" s="4"/>
    </row>
    <row r="302" spans="1:13" x14ac:dyDescent="0.55000000000000004">
      <c r="A302" t="s">
        <v>514</v>
      </c>
      <c r="B302" s="9" t="s">
        <v>32</v>
      </c>
      <c r="C302" s="1" t="s">
        <v>2370</v>
      </c>
      <c r="D302" s="5" t="s">
        <v>2255</v>
      </c>
      <c r="E302" s="5">
        <v>1</v>
      </c>
      <c r="F302" s="5" t="s">
        <v>982</v>
      </c>
      <c r="G302" s="4"/>
      <c r="H302" s="4"/>
      <c r="I302" s="4"/>
      <c r="J302" s="4"/>
      <c r="K302" s="4"/>
      <c r="L302" s="4"/>
      <c r="M302" s="4"/>
    </row>
    <row r="303" spans="1:13" x14ac:dyDescent="0.55000000000000004">
      <c r="B303" s="9" t="s">
        <v>33</v>
      </c>
      <c r="C303" s="1" t="s">
        <v>2371</v>
      </c>
      <c r="D303" s="5" t="s">
        <v>2255</v>
      </c>
      <c r="E303" s="5">
        <v>1</v>
      </c>
      <c r="F303" s="5" t="s">
        <v>982</v>
      </c>
      <c r="G303" s="4"/>
      <c r="H303" s="4"/>
      <c r="I303" s="4"/>
      <c r="J303" s="4"/>
      <c r="K303" s="4"/>
      <c r="L303" s="4"/>
      <c r="M303" s="4"/>
    </row>
    <row r="304" spans="1:13" x14ac:dyDescent="0.55000000000000004">
      <c r="B304" s="9" t="s">
        <v>34</v>
      </c>
      <c r="C304" s="1" t="s">
        <v>2372</v>
      </c>
      <c r="D304" s="5" t="s">
        <v>2255</v>
      </c>
      <c r="E304" s="5">
        <v>1</v>
      </c>
      <c r="F304" s="5" t="s">
        <v>982</v>
      </c>
      <c r="G304" s="4"/>
      <c r="H304" s="4"/>
      <c r="I304" s="4"/>
      <c r="J304" s="4"/>
      <c r="K304" s="4"/>
      <c r="L304" s="4"/>
      <c r="M304" s="4"/>
    </row>
    <row r="305" spans="1:13" x14ac:dyDescent="0.55000000000000004">
      <c r="B305" s="9" t="s">
        <v>35</v>
      </c>
      <c r="C305" s="1" t="s">
        <v>2373</v>
      </c>
      <c r="D305" s="5" t="s">
        <v>2255</v>
      </c>
      <c r="E305" s="5">
        <v>1</v>
      </c>
      <c r="F305" s="5" t="s">
        <v>982</v>
      </c>
      <c r="G305" s="4"/>
      <c r="H305" s="4"/>
      <c r="I305" s="4"/>
      <c r="J305" s="4"/>
      <c r="K305" s="4"/>
      <c r="L305" s="4"/>
      <c r="M305" s="4"/>
    </row>
    <row r="306" spans="1:13" x14ac:dyDescent="0.55000000000000004">
      <c r="B306" s="9" t="s">
        <v>36</v>
      </c>
      <c r="C306" s="1" t="s">
        <v>2374</v>
      </c>
      <c r="D306" s="5" t="s">
        <v>2255</v>
      </c>
      <c r="E306" s="5">
        <v>1</v>
      </c>
      <c r="F306" s="5" t="s">
        <v>982</v>
      </c>
      <c r="G306" s="4"/>
      <c r="H306" s="4"/>
      <c r="I306" s="4"/>
      <c r="J306" s="4"/>
      <c r="K306" s="4"/>
      <c r="L306" s="4"/>
      <c r="M306" s="4"/>
    </row>
    <row r="307" spans="1:13" x14ac:dyDescent="0.55000000000000004">
      <c r="B307" s="9" t="s">
        <v>37</v>
      </c>
      <c r="C307" s="1" t="s">
        <v>2375</v>
      </c>
      <c r="D307" s="5" t="s">
        <v>2255</v>
      </c>
      <c r="E307" s="5">
        <v>1</v>
      </c>
      <c r="F307" s="5" t="s">
        <v>982</v>
      </c>
      <c r="G307" s="4"/>
      <c r="H307" s="4"/>
      <c r="I307" s="4"/>
      <c r="J307" s="4"/>
      <c r="K307" s="4"/>
      <c r="L307" s="4"/>
      <c r="M307" s="4"/>
    </row>
    <row r="308" spans="1:13" x14ac:dyDescent="0.55000000000000004">
      <c r="B308" s="9" t="s">
        <v>38</v>
      </c>
      <c r="C308" s="1" t="s">
        <v>2376</v>
      </c>
      <c r="D308" s="5" t="s">
        <v>2255</v>
      </c>
      <c r="E308" s="5">
        <v>1</v>
      </c>
      <c r="F308" s="5" t="s">
        <v>982</v>
      </c>
      <c r="G308" s="4"/>
      <c r="H308" s="4"/>
      <c r="I308" s="4"/>
      <c r="J308" s="4"/>
      <c r="K308" s="4"/>
      <c r="L308" s="4"/>
      <c r="M308" s="4"/>
    </row>
    <row r="309" spans="1:13" x14ac:dyDescent="0.55000000000000004">
      <c r="B309" s="9" t="s">
        <v>39</v>
      </c>
      <c r="C309" s="1" t="s">
        <v>2377</v>
      </c>
      <c r="D309" s="5" t="s">
        <v>2255</v>
      </c>
      <c r="E309" s="5">
        <v>1</v>
      </c>
      <c r="F309" s="5" t="s">
        <v>982</v>
      </c>
      <c r="G309" s="4"/>
      <c r="H309" s="4"/>
      <c r="I309" s="4"/>
      <c r="J309" s="4"/>
      <c r="K309" s="4"/>
      <c r="L309" s="4"/>
      <c r="M309" s="4"/>
    </row>
    <row r="310" spans="1:13" x14ac:dyDescent="0.55000000000000004">
      <c r="B310" s="9" t="s">
        <v>40</v>
      </c>
      <c r="C310" s="1" t="s">
        <v>2378</v>
      </c>
      <c r="D310" s="5" t="s">
        <v>2255</v>
      </c>
      <c r="E310" s="5">
        <v>1</v>
      </c>
      <c r="F310" s="5" t="s">
        <v>982</v>
      </c>
      <c r="G310" s="4"/>
      <c r="H310" s="4"/>
      <c r="I310" s="4"/>
      <c r="J310" s="4"/>
      <c r="K310" s="4"/>
      <c r="L310" s="4"/>
      <c r="M310" s="4"/>
    </row>
    <row r="311" spans="1:13" x14ac:dyDescent="0.55000000000000004">
      <c r="B311" s="9" t="s">
        <v>41</v>
      </c>
      <c r="C311" s="1" t="s">
        <v>2379</v>
      </c>
      <c r="D311" s="5" t="s">
        <v>2255</v>
      </c>
      <c r="E311" s="5">
        <v>1</v>
      </c>
      <c r="F311" s="5" t="s">
        <v>982</v>
      </c>
      <c r="G311" s="4"/>
      <c r="H311" s="4"/>
      <c r="I311" s="4"/>
      <c r="J311" s="4"/>
      <c r="K311" s="4"/>
      <c r="L311" s="4"/>
      <c r="M311" s="4"/>
    </row>
    <row r="312" spans="1:13" x14ac:dyDescent="0.55000000000000004">
      <c r="B312" s="16"/>
      <c r="C312" s="4" t="s">
        <v>458</v>
      </c>
      <c r="D312" s="4"/>
      <c r="E312" s="4"/>
      <c r="F312" s="4"/>
      <c r="G312" s="4"/>
      <c r="H312" s="4"/>
      <c r="I312" s="4"/>
      <c r="J312" s="4"/>
      <c r="K312" s="4"/>
      <c r="L312" s="4"/>
      <c r="M312" s="4"/>
    </row>
    <row r="313" spans="1:13" x14ac:dyDescent="0.55000000000000004">
      <c r="A313" t="s">
        <v>916</v>
      </c>
      <c r="B313" s="61" t="s">
        <v>394</v>
      </c>
      <c r="C313" s="4" t="s">
        <v>1014</v>
      </c>
      <c r="D313" s="4"/>
      <c r="E313" s="4"/>
      <c r="F313" s="4"/>
      <c r="G313" s="4"/>
      <c r="H313" s="4"/>
      <c r="I313" s="4"/>
      <c r="J313" s="4"/>
      <c r="K313" s="4"/>
      <c r="L313" s="4"/>
      <c r="M313" s="4"/>
    </row>
    <row r="314" spans="1:13" x14ac:dyDescent="0.55000000000000004">
      <c r="B314" s="9" t="s">
        <v>386</v>
      </c>
      <c r="C314" s="5" t="s">
        <v>998</v>
      </c>
      <c r="D314" s="4"/>
      <c r="E314" s="4"/>
      <c r="F314" s="4"/>
      <c r="G314" s="4"/>
      <c r="H314" s="4"/>
      <c r="I314" s="4"/>
      <c r="J314" s="4"/>
      <c r="K314" s="4"/>
      <c r="L314" s="4"/>
      <c r="M314" s="4"/>
    </row>
    <row r="315" spans="1:13" x14ac:dyDescent="0.55000000000000004">
      <c r="B315" s="9" t="s">
        <v>385</v>
      </c>
      <c r="C315" s="5">
        <v>3</v>
      </c>
      <c r="D315" s="4"/>
      <c r="E315" s="4"/>
      <c r="F315" s="4"/>
      <c r="G315" s="4"/>
      <c r="H315" s="4"/>
      <c r="I315" s="4"/>
      <c r="J315" s="4"/>
      <c r="K315" s="4"/>
      <c r="L315" s="4"/>
      <c r="M315" s="4"/>
    </row>
    <row r="316" spans="1:13" x14ac:dyDescent="0.55000000000000004">
      <c r="B316" s="9" t="s">
        <v>838</v>
      </c>
      <c r="C316" s="5">
        <v>1</v>
      </c>
      <c r="D316" s="5">
        <v>1.6</v>
      </c>
      <c r="E316" s="5">
        <v>2</v>
      </c>
      <c r="F316" s="4"/>
      <c r="G316" s="4"/>
      <c r="H316" s="4"/>
      <c r="I316" s="4"/>
      <c r="J316" s="4"/>
      <c r="K316" s="4"/>
      <c r="L316" s="4"/>
      <c r="M316" s="4"/>
    </row>
    <row r="317" spans="1:13" x14ac:dyDescent="0.55000000000000004">
      <c r="B317" s="9" t="s">
        <v>837</v>
      </c>
      <c r="C317" s="5">
        <v>0.1</v>
      </c>
      <c r="D317" s="5">
        <v>7</v>
      </c>
      <c r="E317" s="5">
        <v>7</v>
      </c>
      <c r="F317" s="4"/>
      <c r="G317" s="4"/>
      <c r="H317" s="4"/>
      <c r="I317" s="4"/>
      <c r="J317" s="4"/>
      <c r="K317" s="4"/>
      <c r="L317" s="4"/>
      <c r="M317" s="4"/>
    </row>
    <row r="318" spans="1:13" x14ac:dyDescent="0.55000000000000004">
      <c r="B318" s="16"/>
      <c r="C318" s="4" t="s">
        <v>458</v>
      </c>
      <c r="D318" s="4"/>
      <c r="E318" s="4"/>
      <c r="F318" s="4"/>
      <c r="G318" s="4"/>
      <c r="H318" s="4"/>
      <c r="I318" s="4"/>
      <c r="J318" s="4"/>
      <c r="K318" s="4"/>
      <c r="L318" s="4"/>
      <c r="M318" s="4"/>
    </row>
    <row r="319" spans="1:13" x14ac:dyDescent="0.55000000000000004">
      <c r="B319" s="61" t="s">
        <v>395</v>
      </c>
      <c r="C319" s="4" t="s">
        <v>936</v>
      </c>
      <c r="D319" s="4"/>
      <c r="E319" s="4"/>
      <c r="F319" s="4"/>
      <c r="G319" s="4"/>
      <c r="H319" s="4"/>
      <c r="I319" s="4"/>
      <c r="J319" s="4"/>
      <c r="K319" s="4"/>
      <c r="L319" s="4"/>
      <c r="M319" s="4"/>
    </row>
    <row r="320" spans="1:13" x14ac:dyDescent="0.55000000000000004">
      <c r="B320" s="10" t="s">
        <v>835</v>
      </c>
      <c r="C320" s="5" t="s">
        <v>998</v>
      </c>
      <c r="D320" s="4"/>
      <c r="E320" s="4"/>
      <c r="F320" s="4"/>
      <c r="G320" s="4"/>
      <c r="H320" s="4"/>
      <c r="I320" s="4"/>
      <c r="J320" s="4"/>
      <c r="K320" s="4"/>
      <c r="L320" s="4"/>
      <c r="M320" s="4"/>
    </row>
    <row r="321" spans="1:14" x14ac:dyDescent="0.55000000000000004">
      <c r="B321" s="9" t="s">
        <v>412</v>
      </c>
      <c r="C321" s="5">
        <v>1</v>
      </c>
      <c r="D321" s="4"/>
      <c r="E321" s="4"/>
      <c r="F321" s="4"/>
      <c r="G321" s="4"/>
      <c r="H321" s="4"/>
      <c r="I321" s="4"/>
      <c r="J321" s="4"/>
      <c r="K321" s="4"/>
      <c r="L321" s="4"/>
      <c r="M321" s="4"/>
    </row>
    <row r="322" spans="1:14" x14ac:dyDescent="0.55000000000000004">
      <c r="B322" s="9" t="s">
        <v>839</v>
      </c>
      <c r="C322" s="5">
        <v>1</v>
      </c>
      <c r="D322" s="4"/>
      <c r="E322" s="4"/>
      <c r="F322" s="4"/>
      <c r="G322" s="4"/>
      <c r="H322" s="4"/>
      <c r="I322" s="4"/>
      <c r="J322" s="4"/>
      <c r="K322" s="4"/>
      <c r="L322" s="4"/>
      <c r="M322" s="4"/>
    </row>
    <row r="323" spans="1:14" x14ac:dyDescent="0.55000000000000004">
      <c r="B323" s="9" t="s">
        <v>836</v>
      </c>
      <c r="C323" s="5">
        <v>0.25</v>
      </c>
      <c r="D323" s="4"/>
      <c r="E323" s="4"/>
      <c r="F323" s="4"/>
      <c r="G323" s="4"/>
      <c r="H323" s="4"/>
      <c r="I323" s="4"/>
      <c r="J323" s="4"/>
      <c r="K323" s="4"/>
      <c r="L323" s="4"/>
      <c r="M323" s="4"/>
    </row>
    <row r="324" spans="1:14" x14ac:dyDescent="0.55000000000000004">
      <c r="B324" s="16"/>
      <c r="C324" s="4" t="s">
        <v>458</v>
      </c>
      <c r="D324" s="4"/>
      <c r="E324" s="4"/>
      <c r="F324" s="4"/>
      <c r="G324" s="4"/>
      <c r="H324" s="4"/>
      <c r="I324" s="4"/>
      <c r="J324" s="4"/>
      <c r="K324" s="4"/>
      <c r="L324" s="4"/>
      <c r="M324" s="4"/>
    </row>
    <row r="325" spans="1:14" x14ac:dyDescent="0.55000000000000004">
      <c r="A325" s="24" t="s">
        <v>917</v>
      </c>
      <c r="B325" s="61" t="s">
        <v>396</v>
      </c>
      <c r="C325" s="4" t="s">
        <v>42</v>
      </c>
      <c r="D325" s="4"/>
      <c r="E325" s="4"/>
      <c r="F325" s="4"/>
      <c r="G325" s="4"/>
      <c r="H325" s="4"/>
      <c r="I325" s="4"/>
      <c r="J325" s="4"/>
      <c r="K325" s="4"/>
      <c r="L325" s="4"/>
      <c r="M325" s="4"/>
    </row>
    <row r="326" spans="1:14" x14ac:dyDescent="0.55000000000000004">
      <c r="A326" s="24" t="s">
        <v>918</v>
      </c>
      <c r="B326" s="9" t="s">
        <v>830</v>
      </c>
      <c r="C326" s="5" t="s">
        <v>998</v>
      </c>
      <c r="D326" s="4"/>
      <c r="E326" s="4"/>
      <c r="F326" s="4"/>
      <c r="G326" s="4"/>
      <c r="H326" s="4"/>
      <c r="I326" s="4"/>
      <c r="J326" s="4"/>
      <c r="K326" s="4"/>
      <c r="L326" s="4"/>
      <c r="M326" s="4"/>
    </row>
    <row r="327" spans="1:14" x14ac:dyDescent="0.55000000000000004">
      <c r="A327" t="s">
        <v>919</v>
      </c>
      <c r="B327" s="9" t="s">
        <v>831</v>
      </c>
      <c r="C327" s="5">
        <v>12</v>
      </c>
      <c r="D327" s="4"/>
      <c r="E327" s="4"/>
      <c r="F327" s="4"/>
      <c r="G327" s="4"/>
      <c r="H327" s="4"/>
      <c r="I327" s="4"/>
      <c r="J327" s="4"/>
      <c r="K327" s="4"/>
      <c r="L327" s="4"/>
      <c r="M327" s="4"/>
    </row>
    <row r="328" spans="1:14" x14ac:dyDescent="0.55000000000000004">
      <c r="B328" s="9" t="s">
        <v>832</v>
      </c>
      <c r="C328" s="5">
        <v>1</v>
      </c>
      <c r="D328" s="4"/>
      <c r="E328" s="4"/>
      <c r="F328" s="4"/>
      <c r="G328" s="4"/>
      <c r="H328" s="4"/>
      <c r="I328" s="4"/>
      <c r="J328" s="4"/>
      <c r="K328" s="4"/>
      <c r="L328" s="4"/>
      <c r="M328" s="4"/>
    </row>
    <row r="329" spans="1:14" x14ac:dyDescent="0.55000000000000004">
      <c r="B329" s="9" t="s">
        <v>840</v>
      </c>
      <c r="C329" s="5">
        <v>158.66999999999999</v>
      </c>
      <c r="D329" s="5">
        <v>179.67</v>
      </c>
      <c r="E329" s="5">
        <v>200.67</v>
      </c>
      <c r="F329" s="5">
        <v>228.67</v>
      </c>
      <c r="G329" s="5">
        <v>229.67</v>
      </c>
      <c r="H329" s="5">
        <v>242.67</v>
      </c>
      <c r="I329" s="5">
        <v>244.67</v>
      </c>
      <c r="J329" s="5">
        <v>245.67</v>
      </c>
      <c r="K329" s="5">
        <v>249.67</v>
      </c>
      <c r="L329" s="5">
        <v>257.67</v>
      </c>
      <c r="M329" s="5">
        <v>270.67</v>
      </c>
      <c r="N329" s="1">
        <v>271.67</v>
      </c>
    </row>
    <row r="330" spans="1:14" x14ac:dyDescent="0.55000000000000004">
      <c r="B330" s="9" t="s">
        <v>834</v>
      </c>
      <c r="C330" s="5">
        <v>500</v>
      </c>
      <c r="D330" s="5">
        <v>500</v>
      </c>
      <c r="E330" s="5">
        <v>500</v>
      </c>
      <c r="F330" s="5">
        <v>500</v>
      </c>
      <c r="G330" s="5">
        <v>500</v>
      </c>
      <c r="H330" s="5">
        <v>500</v>
      </c>
      <c r="I330" s="5">
        <v>500</v>
      </c>
      <c r="J330" s="5">
        <v>500</v>
      </c>
      <c r="K330" s="5">
        <v>500</v>
      </c>
      <c r="L330" s="5">
        <v>500</v>
      </c>
      <c r="M330" s="5">
        <v>500</v>
      </c>
      <c r="N330" s="1">
        <v>500</v>
      </c>
    </row>
    <row r="331" spans="1:14" x14ac:dyDescent="0.55000000000000004">
      <c r="B331" s="9" t="s">
        <v>833</v>
      </c>
      <c r="C331" s="5">
        <v>36</v>
      </c>
      <c r="D331" s="4"/>
      <c r="E331" s="4"/>
      <c r="F331" s="4"/>
      <c r="G331" s="4"/>
      <c r="H331" s="4"/>
      <c r="I331" s="4"/>
      <c r="J331" s="4"/>
      <c r="K331" s="4"/>
      <c r="L331" s="4"/>
      <c r="M331" s="4"/>
    </row>
    <row r="332" spans="1:14" x14ac:dyDescent="0.55000000000000004">
      <c r="B332" s="16"/>
      <c r="C332" s="4" t="s">
        <v>458</v>
      </c>
      <c r="D332" s="4"/>
      <c r="E332" s="4"/>
      <c r="F332" s="4"/>
      <c r="G332" s="4"/>
      <c r="H332" s="4"/>
      <c r="I332" s="4"/>
      <c r="J332" s="4"/>
      <c r="K332" s="4"/>
      <c r="L332" s="4"/>
      <c r="M332" s="4"/>
    </row>
    <row r="333" spans="1:14" x14ac:dyDescent="0.55000000000000004">
      <c r="A333" t="s">
        <v>383</v>
      </c>
      <c r="B333" s="61" t="s">
        <v>263</v>
      </c>
      <c r="C333" s="4" t="s">
        <v>937</v>
      </c>
      <c r="D333" s="4"/>
      <c r="E333" s="4"/>
      <c r="F333" s="4"/>
      <c r="G333" s="4"/>
      <c r="H333" s="4"/>
      <c r="I333" s="4"/>
      <c r="J333" s="4"/>
      <c r="K333" s="4"/>
      <c r="L333" s="4"/>
      <c r="M333" s="4"/>
    </row>
    <row r="334" spans="1:14" x14ac:dyDescent="0.55000000000000004">
      <c r="A334" t="s">
        <v>384</v>
      </c>
      <c r="B334" s="10" t="s">
        <v>829</v>
      </c>
      <c r="C334" s="5" t="s">
        <v>982</v>
      </c>
      <c r="D334" s="4"/>
      <c r="E334" s="4"/>
      <c r="F334" s="4"/>
      <c r="G334" s="4"/>
      <c r="H334" s="4"/>
      <c r="I334" s="4"/>
      <c r="J334" s="4"/>
      <c r="K334" s="4"/>
      <c r="L334" s="4"/>
      <c r="M334" s="4"/>
    </row>
    <row r="335" spans="1:14" x14ac:dyDescent="0.55000000000000004">
      <c r="B335" s="9" t="s">
        <v>413</v>
      </c>
      <c r="C335" s="5">
        <v>0</v>
      </c>
      <c r="D335" s="4"/>
      <c r="E335" s="4"/>
      <c r="F335" s="4"/>
      <c r="G335" s="4"/>
      <c r="H335" s="4"/>
      <c r="I335" s="4"/>
      <c r="J335" s="4"/>
      <c r="K335" s="4"/>
      <c r="L335" s="4"/>
      <c r="M335" s="4"/>
    </row>
    <row r="336" spans="1:14" x14ac:dyDescent="0.55000000000000004">
      <c r="B336" s="9" t="s">
        <v>414</v>
      </c>
      <c r="C336" s="5">
        <v>0</v>
      </c>
      <c r="D336" s="4"/>
      <c r="E336" s="4"/>
      <c r="F336" s="4"/>
      <c r="G336" s="4"/>
      <c r="H336" s="4"/>
      <c r="I336" s="4"/>
      <c r="J336" s="4"/>
      <c r="K336" s="4"/>
      <c r="L336" s="4"/>
      <c r="M336" s="4"/>
    </row>
    <row r="337" spans="1:34" x14ac:dyDescent="0.55000000000000004">
      <c r="B337" s="9" t="s">
        <v>841</v>
      </c>
      <c r="C337" s="5"/>
      <c r="D337" s="4"/>
      <c r="E337" s="4"/>
      <c r="F337" s="4"/>
      <c r="G337" s="4"/>
      <c r="H337" s="4"/>
      <c r="I337" s="4"/>
      <c r="J337" s="4"/>
      <c r="K337" s="4"/>
      <c r="L337" s="4"/>
      <c r="M337" s="4"/>
    </row>
    <row r="338" spans="1:34" x14ac:dyDescent="0.55000000000000004">
      <c r="B338" s="9" t="s">
        <v>415</v>
      </c>
      <c r="C338" s="5"/>
      <c r="D338" s="4"/>
      <c r="E338" s="4"/>
      <c r="F338" s="4"/>
      <c r="G338" s="4"/>
      <c r="H338" s="4"/>
      <c r="I338" s="4"/>
      <c r="J338" s="4"/>
      <c r="K338" s="4"/>
      <c r="L338" s="4"/>
      <c r="M338" s="4"/>
    </row>
    <row r="339" spans="1:34" x14ac:dyDescent="0.55000000000000004">
      <c r="B339" s="9" t="s">
        <v>842</v>
      </c>
      <c r="C339" s="5"/>
      <c r="D339" s="4"/>
      <c r="E339" s="4"/>
      <c r="F339" s="4"/>
      <c r="G339" s="4"/>
      <c r="H339" s="4"/>
      <c r="I339" s="4"/>
      <c r="J339" s="4"/>
      <c r="K339" s="4"/>
      <c r="L339" s="4"/>
      <c r="M339" s="4"/>
    </row>
    <row r="340" spans="1:34" x14ac:dyDescent="0.55000000000000004">
      <c r="B340" s="16"/>
      <c r="C340" s="4" t="s">
        <v>458</v>
      </c>
      <c r="D340" s="4"/>
      <c r="E340" s="4"/>
      <c r="F340" s="4"/>
      <c r="G340" s="4"/>
      <c r="H340" s="4"/>
      <c r="I340" s="4"/>
      <c r="J340" s="4"/>
      <c r="K340" s="4"/>
      <c r="L340" s="4"/>
      <c r="M340" s="4"/>
    </row>
    <row r="341" spans="1:34" x14ac:dyDescent="0.55000000000000004">
      <c r="A341" s="24" t="s">
        <v>1259</v>
      </c>
      <c r="B341" s="61" t="s">
        <v>1261</v>
      </c>
      <c r="C341" s="4" t="s">
        <v>938</v>
      </c>
      <c r="D341" s="4"/>
      <c r="E341" s="4"/>
      <c r="F341" s="4"/>
      <c r="G341" s="4"/>
      <c r="H341" s="4"/>
      <c r="I341" s="4"/>
      <c r="J341" s="4"/>
      <c r="K341" s="4"/>
      <c r="L341" s="4"/>
      <c r="M341" s="4"/>
    </row>
    <row r="342" spans="1:34" x14ac:dyDescent="0.55000000000000004">
      <c r="A342" s="24" t="s">
        <v>1260</v>
      </c>
      <c r="B342" s="9" t="s">
        <v>828</v>
      </c>
      <c r="C342" s="5" t="s">
        <v>982</v>
      </c>
      <c r="D342" s="4"/>
      <c r="E342" s="4"/>
      <c r="F342" s="4"/>
      <c r="G342" s="4"/>
      <c r="H342" s="4"/>
      <c r="I342" s="4"/>
      <c r="J342" s="4"/>
      <c r="K342" s="4"/>
      <c r="L342" s="4"/>
      <c r="M342" s="4"/>
      <c r="AH342" s="2"/>
    </row>
    <row r="343" spans="1:34" x14ac:dyDescent="0.55000000000000004">
      <c r="B343" s="9" t="s">
        <v>416</v>
      </c>
      <c r="C343" s="5">
        <v>1</v>
      </c>
      <c r="D343" s="4"/>
      <c r="E343" s="4"/>
      <c r="F343" s="4"/>
      <c r="G343" s="4"/>
      <c r="H343" s="4"/>
      <c r="I343" s="4"/>
      <c r="J343" s="4"/>
      <c r="K343" s="4"/>
      <c r="L343" s="4"/>
      <c r="M343" s="4"/>
    </row>
    <row r="344" spans="1:34" x14ac:dyDescent="0.55000000000000004">
      <c r="B344" s="9" t="s">
        <v>843</v>
      </c>
      <c r="C344" s="5">
        <v>63.5</v>
      </c>
      <c r="D344" s="4"/>
      <c r="E344" s="4"/>
      <c r="F344" s="4"/>
      <c r="G344" s="4"/>
      <c r="H344" s="4"/>
      <c r="I344" s="4"/>
      <c r="J344" s="4"/>
      <c r="K344" s="4"/>
      <c r="L344" s="4"/>
      <c r="M344" s="4"/>
    </row>
    <row r="345" spans="1:34" x14ac:dyDescent="0.55000000000000004">
      <c r="B345" s="9" t="s">
        <v>417</v>
      </c>
      <c r="C345" s="5">
        <v>1</v>
      </c>
      <c r="D345" s="4"/>
      <c r="E345" s="4"/>
      <c r="F345" s="4"/>
      <c r="G345" s="4"/>
      <c r="H345" s="4"/>
      <c r="I345" s="4"/>
      <c r="J345" s="4"/>
      <c r="K345" s="4"/>
      <c r="L345" s="4"/>
      <c r="M345" s="4"/>
    </row>
    <row r="346" spans="1:34" x14ac:dyDescent="0.55000000000000004">
      <c r="B346" s="16"/>
      <c r="C346" s="4" t="s">
        <v>458</v>
      </c>
      <c r="D346" s="4"/>
      <c r="E346" s="4"/>
      <c r="F346" s="4"/>
      <c r="G346" s="4"/>
      <c r="H346" s="4"/>
      <c r="I346" s="4"/>
      <c r="J346" s="4"/>
      <c r="K346" s="4"/>
      <c r="L346" s="4"/>
      <c r="M346" s="4"/>
    </row>
    <row r="347" spans="1:34" x14ac:dyDescent="0.55000000000000004">
      <c r="A347" t="s">
        <v>387</v>
      </c>
      <c r="B347" s="61" t="s">
        <v>397</v>
      </c>
      <c r="C347" s="4" t="s">
        <v>939</v>
      </c>
      <c r="D347" s="4"/>
      <c r="E347" s="4"/>
      <c r="F347" s="4"/>
      <c r="G347" s="4"/>
      <c r="H347" s="4"/>
      <c r="I347" s="4"/>
      <c r="J347" s="4"/>
      <c r="K347" s="4"/>
      <c r="L347" s="4"/>
      <c r="M347" s="4"/>
    </row>
    <row r="348" spans="1:34" x14ac:dyDescent="0.55000000000000004">
      <c r="A348" t="s">
        <v>384</v>
      </c>
      <c r="B348" s="9" t="s">
        <v>822</v>
      </c>
      <c r="C348" s="5" t="s">
        <v>998</v>
      </c>
      <c r="D348" s="4"/>
      <c r="E348" s="4"/>
      <c r="F348" s="4"/>
      <c r="G348" s="4"/>
      <c r="H348" s="4"/>
      <c r="I348" s="4"/>
      <c r="J348" s="4"/>
      <c r="K348" s="4"/>
      <c r="L348" s="4"/>
      <c r="M348" s="4"/>
    </row>
    <row r="349" spans="1:34" x14ac:dyDescent="0.55000000000000004">
      <c r="B349" s="9" t="s">
        <v>823</v>
      </c>
      <c r="C349" s="5">
        <v>24</v>
      </c>
      <c r="D349" s="4"/>
      <c r="E349" s="4"/>
      <c r="F349" s="4"/>
      <c r="G349" s="4"/>
      <c r="H349" s="4"/>
      <c r="I349" s="4"/>
      <c r="J349" s="4"/>
      <c r="K349" s="4"/>
      <c r="L349" s="4"/>
      <c r="M349" s="4"/>
    </row>
    <row r="350" spans="1:34" x14ac:dyDescent="0.55000000000000004">
      <c r="B350" s="9" t="s">
        <v>824</v>
      </c>
      <c r="C350" s="5" t="s">
        <v>998</v>
      </c>
      <c r="D350" s="4"/>
      <c r="E350" s="4"/>
      <c r="F350" s="4"/>
      <c r="G350" s="4"/>
      <c r="H350" s="4"/>
      <c r="I350" s="4"/>
      <c r="J350" s="4"/>
      <c r="K350" s="4"/>
      <c r="L350" s="4"/>
      <c r="M350" s="4"/>
    </row>
    <row r="351" spans="1:34" x14ac:dyDescent="0.55000000000000004">
      <c r="B351" s="9" t="s">
        <v>825</v>
      </c>
      <c r="C351" s="5">
        <v>9.67</v>
      </c>
      <c r="D351" s="5">
        <v>37.67</v>
      </c>
      <c r="E351" s="5">
        <v>72.75</v>
      </c>
      <c r="F351" s="5">
        <v>100.6</v>
      </c>
      <c r="G351" s="5">
        <v>128.66999999999999</v>
      </c>
      <c r="H351" s="5">
        <v>163.75</v>
      </c>
      <c r="I351" s="5">
        <v>187.6</v>
      </c>
      <c r="J351" s="5">
        <v>191.6</v>
      </c>
      <c r="K351" s="5">
        <v>208.4</v>
      </c>
      <c r="L351" s="5">
        <v>215.5</v>
      </c>
      <c r="M351" s="5">
        <v>219.75</v>
      </c>
      <c r="N351" s="1">
        <v>228.4</v>
      </c>
      <c r="O351" s="1">
        <v>228.6</v>
      </c>
      <c r="P351" s="1">
        <v>229.4</v>
      </c>
      <c r="Q351" s="1">
        <v>229.6</v>
      </c>
      <c r="R351" s="1">
        <v>251.5</v>
      </c>
      <c r="S351" s="1">
        <v>254.75</v>
      </c>
      <c r="T351" s="1">
        <v>270.39999999999998</v>
      </c>
      <c r="U351" s="1">
        <v>270.60000000000002</v>
      </c>
      <c r="V351" s="1">
        <v>271.39999999999998</v>
      </c>
      <c r="W351" s="1">
        <v>271.60000000000002</v>
      </c>
      <c r="X351" s="1">
        <v>284.39999999999998</v>
      </c>
      <c r="Y351" s="1">
        <v>319.35000000000002</v>
      </c>
      <c r="Z351" s="1">
        <v>347.35</v>
      </c>
    </row>
    <row r="352" spans="1:34" x14ac:dyDescent="0.55000000000000004">
      <c r="B352" s="9" t="s">
        <v>418</v>
      </c>
      <c r="C352" s="5">
        <v>500</v>
      </c>
      <c r="D352" s="5">
        <v>500</v>
      </c>
      <c r="E352" s="5">
        <v>500</v>
      </c>
      <c r="F352" s="5">
        <v>500</v>
      </c>
      <c r="G352" s="5">
        <v>500</v>
      </c>
      <c r="H352" s="5">
        <v>500</v>
      </c>
      <c r="I352" s="5">
        <v>500</v>
      </c>
      <c r="J352" s="5">
        <v>500</v>
      </c>
      <c r="K352" s="5">
        <v>500</v>
      </c>
      <c r="L352" s="5">
        <v>500</v>
      </c>
      <c r="M352" s="5">
        <v>500</v>
      </c>
      <c r="N352" s="1">
        <v>500</v>
      </c>
      <c r="O352" s="1">
        <v>500</v>
      </c>
      <c r="P352" s="1">
        <v>500</v>
      </c>
      <c r="Q352" s="1">
        <v>500</v>
      </c>
      <c r="R352" s="1">
        <v>500</v>
      </c>
      <c r="S352" s="1">
        <v>500</v>
      </c>
      <c r="T352" s="1">
        <v>500</v>
      </c>
      <c r="U352" s="1">
        <v>500</v>
      </c>
      <c r="V352" s="1">
        <v>500</v>
      </c>
      <c r="W352" s="1">
        <v>500</v>
      </c>
      <c r="X352" s="1">
        <v>500</v>
      </c>
      <c r="Y352" s="1">
        <v>500</v>
      </c>
      <c r="Z352" s="1">
        <v>500</v>
      </c>
    </row>
    <row r="353" spans="1:13" x14ac:dyDescent="0.55000000000000004">
      <c r="B353" s="16"/>
      <c r="C353" s="4" t="s">
        <v>458</v>
      </c>
      <c r="D353" s="4"/>
      <c r="E353" s="4"/>
      <c r="F353" s="4"/>
      <c r="G353" s="4"/>
      <c r="H353" s="4"/>
      <c r="I353" s="4"/>
      <c r="J353" s="4"/>
      <c r="K353" s="4"/>
      <c r="L353" s="4"/>
      <c r="M353" s="4"/>
    </row>
    <row r="354" spans="1:13" x14ac:dyDescent="0.55000000000000004">
      <c r="A354" t="s">
        <v>388</v>
      </c>
      <c r="B354" s="61" t="s">
        <v>419</v>
      </c>
      <c r="C354" s="4" t="s">
        <v>940</v>
      </c>
      <c r="D354" s="4"/>
      <c r="E354" s="4"/>
      <c r="F354" s="4"/>
      <c r="G354" s="4"/>
      <c r="H354" s="4"/>
      <c r="I354" s="4"/>
      <c r="J354" s="4"/>
      <c r="K354" s="4"/>
      <c r="L354" s="4"/>
      <c r="M354" s="4"/>
    </row>
    <row r="355" spans="1:13" x14ac:dyDescent="0.55000000000000004">
      <c r="A355" t="s">
        <v>384</v>
      </c>
      <c r="B355" s="9" t="s">
        <v>826</v>
      </c>
      <c r="C355" s="5" t="s">
        <v>982</v>
      </c>
      <c r="D355" s="4"/>
      <c r="E355" s="4"/>
      <c r="F355" s="4"/>
      <c r="G355" s="4"/>
      <c r="H355" s="4"/>
      <c r="I355" s="4"/>
      <c r="J355" s="4"/>
      <c r="K355" s="4"/>
      <c r="L355" s="4"/>
      <c r="M355" s="4"/>
    </row>
    <row r="356" spans="1:13" x14ac:dyDescent="0.55000000000000004">
      <c r="B356" s="9" t="s">
        <v>827</v>
      </c>
      <c r="C356" s="5">
        <v>0</v>
      </c>
      <c r="D356" s="4"/>
      <c r="E356" s="4"/>
      <c r="F356" s="4"/>
      <c r="G356" s="4"/>
      <c r="H356" s="4"/>
      <c r="I356" s="4"/>
      <c r="J356" s="4"/>
      <c r="K356" s="4"/>
      <c r="L356" s="4"/>
      <c r="M356" s="4"/>
    </row>
    <row r="357" spans="1:13" x14ac:dyDescent="0.55000000000000004">
      <c r="B357" s="9" t="s">
        <v>844</v>
      </c>
      <c r="C357" s="5"/>
      <c r="D357" s="4"/>
      <c r="E357" s="4"/>
      <c r="F357" s="4"/>
      <c r="G357" s="4"/>
      <c r="H357" s="4"/>
      <c r="I357" s="4"/>
      <c r="J357" s="4"/>
      <c r="K357" s="4"/>
      <c r="L357" s="4"/>
      <c r="M357" s="4"/>
    </row>
    <row r="358" spans="1:13" x14ac:dyDescent="0.55000000000000004">
      <c r="B358" s="9" t="s">
        <v>420</v>
      </c>
      <c r="C358" s="5"/>
      <c r="D358" s="4"/>
      <c r="E358" s="4"/>
      <c r="F358" s="4"/>
      <c r="G358" s="4"/>
      <c r="H358" s="4"/>
      <c r="I358" s="4"/>
      <c r="J358" s="4"/>
      <c r="K358" s="4"/>
      <c r="L358" s="4"/>
      <c r="M358" s="4"/>
    </row>
    <row r="359" spans="1:13" x14ac:dyDescent="0.55000000000000004">
      <c r="B359" s="16"/>
      <c r="C359" s="4" t="s">
        <v>458</v>
      </c>
      <c r="D359" s="4"/>
      <c r="E359" s="4"/>
      <c r="F359" s="4"/>
      <c r="G359" s="4"/>
      <c r="H359" s="4"/>
      <c r="I359" s="4"/>
      <c r="J359" s="4"/>
      <c r="K359" s="4"/>
      <c r="L359" s="4"/>
      <c r="M359" s="4"/>
    </row>
    <row r="360" spans="1:13" x14ac:dyDescent="0.55000000000000004">
      <c r="B360" s="61" t="s">
        <v>421</v>
      </c>
      <c r="C360" s="4" t="s">
        <v>941</v>
      </c>
      <c r="D360" s="4"/>
      <c r="E360" s="4"/>
      <c r="F360" s="4"/>
      <c r="G360" s="4"/>
      <c r="H360" s="4"/>
      <c r="I360" s="4"/>
      <c r="J360" s="4"/>
      <c r="K360" s="4"/>
      <c r="L360" s="4"/>
      <c r="M360" s="4"/>
    </row>
    <row r="361" spans="1:13" x14ac:dyDescent="0.55000000000000004">
      <c r="B361" s="9" t="s">
        <v>422</v>
      </c>
      <c r="C361" s="5" t="s">
        <v>998</v>
      </c>
      <c r="D361" s="4"/>
      <c r="E361" s="4"/>
      <c r="F361" s="4"/>
      <c r="G361" s="4"/>
      <c r="H361" s="4"/>
      <c r="I361" s="4"/>
      <c r="J361" s="4"/>
      <c r="K361" s="4"/>
      <c r="L361" s="4"/>
      <c r="M361" s="4"/>
    </row>
    <row r="362" spans="1:13" x14ac:dyDescent="0.55000000000000004">
      <c r="B362" s="9" t="s">
        <v>423</v>
      </c>
      <c r="C362" s="5">
        <v>1</v>
      </c>
      <c r="D362" s="4"/>
      <c r="E362" s="4"/>
      <c r="F362" s="4"/>
      <c r="G362" s="4"/>
      <c r="H362" s="4"/>
      <c r="I362" s="4"/>
      <c r="J362" s="4"/>
      <c r="K362" s="4"/>
      <c r="L362" s="4"/>
      <c r="M362" s="4"/>
    </row>
    <row r="363" spans="1:13" x14ac:dyDescent="0.55000000000000004">
      <c r="B363" s="9" t="s">
        <v>424</v>
      </c>
      <c r="C363" s="5">
        <v>8</v>
      </c>
      <c r="D363" s="4"/>
      <c r="E363" s="4"/>
      <c r="F363" s="4"/>
      <c r="G363" s="4"/>
      <c r="H363" s="4"/>
      <c r="I363" s="4"/>
      <c r="J363" s="4"/>
      <c r="K363" s="4"/>
      <c r="L363" s="4"/>
      <c r="M363" s="4"/>
    </row>
    <row r="364" spans="1:13" x14ac:dyDescent="0.55000000000000004">
      <c r="B364" s="9" t="s">
        <v>389</v>
      </c>
      <c r="C364" s="5" t="s">
        <v>1015</v>
      </c>
      <c r="D364" s="4"/>
      <c r="E364" s="4"/>
      <c r="F364" s="4"/>
      <c r="G364" s="4"/>
      <c r="H364" s="4"/>
      <c r="I364" s="4"/>
      <c r="J364" s="4"/>
      <c r="K364" s="4"/>
      <c r="L364" s="4"/>
      <c r="M364" s="4"/>
    </row>
    <row r="365" spans="1:13" x14ac:dyDescent="0.55000000000000004">
      <c r="B365" s="9" t="s">
        <v>845</v>
      </c>
      <c r="C365" s="5">
        <v>1</v>
      </c>
      <c r="D365" s="4"/>
      <c r="E365" s="4"/>
      <c r="F365" s="4"/>
      <c r="G365" s="4"/>
      <c r="H365" s="4"/>
      <c r="I365" s="4"/>
      <c r="J365" s="4"/>
      <c r="K365" s="4"/>
      <c r="L365" s="4"/>
      <c r="M365" s="4"/>
    </row>
    <row r="366" spans="1:13" x14ac:dyDescent="0.55000000000000004">
      <c r="B366" s="9" t="s">
        <v>425</v>
      </c>
      <c r="C366" s="5">
        <v>0.1</v>
      </c>
      <c r="D366" s="4"/>
      <c r="E366" s="4"/>
      <c r="F366" s="4"/>
      <c r="G366" s="4"/>
      <c r="H366" s="4"/>
      <c r="I366" s="4"/>
      <c r="J366" s="4"/>
      <c r="K366" s="4"/>
      <c r="L366" s="4"/>
      <c r="M366" s="4"/>
    </row>
    <row r="367" spans="1:13" x14ac:dyDescent="0.55000000000000004">
      <c r="B367" s="9" t="s">
        <v>426</v>
      </c>
      <c r="C367" s="5">
        <v>2</v>
      </c>
      <c r="D367" s="5">
        <v>3</v>
      </c>
      <c r="E367" s="5">
        <v>9</v>
      </c>
      <c r="F367" s="5">
        <v>16</v>
      </c>
      <c r="G367" s="5">
        <v>22</v>
      </c>
      <c r="H367" s="5">
        <v>28</v>
      </c>
      <c r="I367" s="5">
        <v>29</v>
      </c>
      <c r="J367" s="5">
        <v>36</v>
      </c>
      <c r="K367" s="4"/>
      <c r="L367" s="4"/>
      <c r="M367" s="4"/>
    </row>
    <row r="368" spans="1:13" x14ac:dyDescent="0.55000000000000004">
      <c r="B368" s="9" t="s">
        <v>427</v>
      </c>
      <c r="C368" s="5">
        <v>0</v>
      </c>
      <c r="D368" s="5">
        <v>0</v>
      </c>
      <c r="E368" s="5">
        <v>0</v>
      </c>
      <c r="F368" s="5">
        <v>0</v>
      </c>
      <c r="G368" s="5">
        <v>0</v>
      </c>
      <c r="H368" s="5">
        <v>0</v>
      </c>
      <c r="I368" s="5">
        <v>0</v>
      </c>
      <c r="J368" s="5">
        <v>0</v>
      </c>
      <c r="K368" s="4"/>
      <c r="L368" s="4"/>
      <c r="M368" s="4"/>
    </row>
    <row r="369" spans="1:13" x14ac:dyDescent="0.55000000000000004">
      <c r="B369" s="16"/>
      <c r="C369" s="4" t="s">
        <v>458</v>
      </c>
      <c r="D369" s="4"/>
      <c r="E369" s="4"/>
      <c r="F369" s="4"/>
      <c r="G369" s="4"/>
      <c r="H369" s="4"/>
      <c r="I369" s="4"/>
      <c r="J369" s="4"/>
      <c r="K369" s="4"/>
      <c r="L369" s="4"/>
      <c r="M369" s="4"/>
    </row>
    <row r="370" spans="1:13" x14ac:dyDescent="0.55000000000000004">
      <c r="A370" s="24" t="s">
        <v>1253</v>
      </c>
      <c r="B370" s="61" t="s">
        <v>1246</v>
      </c>
      <c r="C370" s="33" t="s">
        <v>1262</v>
      </c>
      <c r="D370" s="4"/>
      <c r="E370" s="4"/>
      <c r="F370" s="4"/>
      <c r="G370" s="4"/>
      <c r="H370" s="4"/>
      <c r="I370" s="4"/>
      <c r="J370" s="4"/>
      <c r="K370" s="4"/>
      <c r="L370" s="4"/>
      <c r="M370" s="4"/>
    </row>
    <row r="371" spans="1:13" x14ac:dyDescent="0.55000000000000004">
      <c r="A371" s="24" t="s">
        <v>1254</v>
      </c>
      <c r="B371" s="9" t="s">
        <v>1247</v>
      </c>
      <c r="C371" s="5" t="s">
        <v>11</v>
      </c>
      <c r="D371" s="4"/>
      <c r="E371" s="4"/>
      <c r="F371" s="4"/>
      <c r="G371" s="4"/>
      <c r="H371" s="4"/>
      <c r="I371" s="4"/>
      <c r="J371" s="4"/>
      <c r="K371" s="4"/>
      <c r="L371" s="4"/>
      <c r="M371" s="4"/>
    </row>
    <row r="372" spans="1:13" x14ac:dyDescent="0.55000000000000004">
      <c r="B372" s="9" t="s">
        <v>1264</v>
      </c>
      <c r="C372" s="5">
        <v>14</v>
      </c>
      <c r="D372" s="4"/>
      <c r="E372" s="4"/>
      <c r="F372" s="4"/>
      <c r="G372" s="4"/>
      <c r="H372" s="4"/>
      <c r="I372" s="4"/>
      <c r="J372" s="4"/>
      <c r="K372" s="4"/>
      <c r="L372" s="4"/>
      <c r="M372" s="4"/>
    </row>
    <row r="373" spans="1:13" x14ac:dyDescent="0.55000000000000004">
      <c r="B373" s="16"/>
      <c r="C373" s="4" t="s">
        <v>458</v>
      </c>
      <c r="D373" s="4"/>
      <c r="E373" s="4"/>
      <c r="F373" s="4"/>
      <c r="G373" s="4"/>
      <c r="H373" s="4"/>
      <c r="I373" s="4"/>
      <c r="J373" s="4"/>
      <c r="K373" s="4"/>
      <c r="L373" s="4"/>
      <c r="M373" s="4"/>
    </row>
    <row r="374" spans="1:13" x14ac:dyDescent="0.55000000000000004">
      <c r="A374" s="24" t="s">
        <v>1255</v>
      </c>
      <c r="B374" s="61" t="s">
        <v>1248</v>
      </c>
      <c r="C374" s="33" t="s">
        <v>1249</v>
      </c>
      <c r="D374" s="4"/>
      <c r="E374" s="4"/>
      <c r="F374" s="4"/>
      <c r="G374" s="4"/>
      <c r="H374" s="4"/>
      <c r="I374" s="4"/>
      <c r="J374" s="4"/>
      <c r="K374" s="4"/>
      <c r="L374" s="4"/>
      <c r="M374" s="4"/>
    </row>
    <row r="375" spans="1:13" x14ac:dyDescent="0.55000000000000004">
      <c r="A375" s="24" t="s">
        <v>1256</v>
      </c>
      <c r="B375" s="9" t="s">
        <v>1669</v>
      </c>
      <c r="C375" s="5" t="s">
        <v>2</v>
      </c>
      <c r="D375" s="4"/>
      <c r="E375" s="4"/>
      <c r="F375" s="4"/>
      <c r="G375" s="4"/>
      <c r="H375" s="4"/>
      <c r="I375" s="4"/>
      <c r="J375" s="4"/>
      <c r="K375" s="4"/>
      <c r="L375" s="4"/>
      <c r="M375" s="4"/>
    </row>
    <row r="376" spans="1:13" x14ac:dyDescent="0.55000000000000004">
      <c r="B376" s="9" t="s">
        <v>1250</v>
      </c>
      <c r="C376" s="5">
        <v>14</v>
      </c>
      <c r="D376" s="4"/>
      <c r="E376" s="4"/>
      <c r="F376" s="4"/>
      <c r="G376" s="4"/>
      <c r="H376" s="4"/>
      <c r="I376" s="4"/>
      <c r="J376" s="4"/>
      <c r="K376" s="4"/>
      <c r="L376" s="4"/>
      <c r="M376" s="4"/>
    </row>
    <row r="377" spans="1:13" x14ac:dyDescent="0.55000000000000004">
      <c r="B377" s="16"/>
      <c r="C377" s="4" t="s">
        <v>458</v>
      </c>
      <c r="D377" s="4"/>
      <c r="E377" s="4"/>
      <c r="F377" s="4"/>
      <c r="G377" s="4"/>
      <c r="H377" s="4"/>
      <c r="I377" s="4"/>
      <c r="J377" s="4"/>
      <c r="K377" s="4"/>
      <c r="L377" s="4"/>
      <c r="M377" s="4"/>
    </row>
    <row r="378" spans="1:13" x14ac:dyDescent="0.55000000000000004">
      <c r="A378" s="24" t="s">
        <v>1257</v>
      </c>
      <c r="B378" s="61" t="s">
        <v>1263</v>
      </c>
      <c r="C378" s="33" t="s">
        <v>1251</v>
      </c>
      <c r="D378" s="4"/>
      <c r="E378" s="4"/>
      <c r="F378" s="4"/>
      <c r="G378" s="4"/>
      <c r="H378" s="4"/>
      <c r="I378" s="4"/>
      <c r="J378" s="4"/>
      <c r="K378" s="4"/>
      <c r="L378" s="4"/>
      <c r="M378" s="4"/>
    </row>
    <row r="379" spans="1:13" x14ac:dyDescent="0.55000000000000004">
      <c r="A379" s="24" t="s">
        <v>1256</v>
      </c>
      <c r="B379" s="9" t="s">
        <v>1670</v>
      </c>
      <c r="C379" s="5" t="s">
        <v>11</v>
      </c>
      <c r="D379" s="4"/>
      <c r="E379" s="4"/>
      <c r="F379" s="4"/>
      <c r="G379" s="4"/>
      <c r="H379" s="4"/>
      <c r="I379" s="4"/>
      <c r="J379" s="4"/>
      <c r="K379" s="4"/>
      <c r="L379" s="4"/>
      <c r="M379" s="4"/>
    </row>
    <row r="380" spans="1:13" x14ac:dyDescent="0.55000000000000004">
      <c r="A380" s="24" t="s">
        <v>1258</v>
      </c>
      <c r="B380" s="9" t="s">
        <v>1252</v>
      </c>
      <c r="C380" s="5">
        <v>14</v>
      </c>
      <c r="D380" s="4"/>
      <c r="E380" s="4"/>
      <c r="F380" s="4"/>
      <c r="G380" s="4"/>
      <c r="H380" s="4"/>
      <c r="I380" s="4"/>
      <c r="J380" s="4"/>
      <c r="K380" s="4"/>
      <c r="L380" s="4"/>
      <c r="M380" s="4"/>
    </row>
    <row r="381" spans="1:13" x14ac:dyDescent="0.55000000000000004">
      <c r="B381" s="16"/>
      <c r="C381" s="4" t="s">
        <v>458</v>
      </c>
      <c r="D381" s="4"/>
      <c r="E381" s="4"/>
      <c r="F381" s="4"/>
      <c r="G381" s="4"/>
      <c r="H381" s="4"/>
      <c r="I381" s="4"/>
      <c r="J381" s="4"/>
      <c r="K381" s="4"/>
      <c r="L381" s="4"/>
      <c r="M381" s="4"/>
    </row>
    <row r="382" spans="1:13" x14ac:dyDescent="0.55000000000000004">
      <c r="B382" s="61" t="s">
        <v>428</v>
      </c>
      <c r="C382" s="33" t="s">
        <v>942</v>
      </c>
      <c r="D382" s="4"/>
      <c r="E382" s="4"/>
      <c r="F382" s="4"/>
      <c r="G382" s="4"/>
      <c r="H382" s="4"/>
      <c r="I382" s="4"/>
      <c r="J382" s="4"/>
      <c r="K382" s="4"/>
      <c r="L382" s="4"/>
      <c r="M382" s="4"/>
    </row>
    <row r="383" spans="1:13" x14ac:dyDescent="0.55000000000000004">
      <c r="B383" s="9" t="s">
        <v>429</v>
      </c>
      <c r="C383" s="5" t="s">
        <v>998</v>
      </c>
      <c r="D383" s="4"/>
      <c r="E383" s="4"/>
      <c r="F383" s="4"/>
      <c r="G383" s="4"/>
      <c r="H383" s="4"/>
      <c r="I383" s="4"/>
      <c r="J383" s="4"/>
      <c r="K383" s="4"/>
      <c r="L383" s="4"/>
      <c r="M383" s="4"/>
    </row>
    <row r="384" spans="1:13" x14ac:dyDescent="0.55000000000000004">
      <c r="B384" s="9" t="s">
        <v>430</v>
      </c>
      <c r="C384" s="5">
        <v>1</v>
      </c>
      <c r="D384" s="4"/>
      <c r="E384" s="4"/>
      <c r="F384" s="4"/>
      <c r="G384" s="4"/>
      <c r="H384" s="4"/>
      <c r="I384" s="4"/>
      <c r="J384" s="4"/>
      <c r="K384" s="4"/>
      <c r="L384" s="4"/>
      <c r="M384" s="4"/>
    </row>
    <row r="385" spans="1:27" x14ac:dyDescent="0.55000000000000004">
      <c r="B385" s="9" t="s">
        <v>431</v>
      </c>
      <c r="C385" s="5">
        <v>1</v>
      </c>
      <c r="D385" s="4"/>
      <c r="E385" s="4"/>
      <c r="F385" s="4"/>
      <c r="G385" s="4"/>
      <c r="H385" s="4"/>
      <c r="I385" s="4"/>
      <c r="J385" s="4"/>
      <c r="K385" s="4"/>
      <c r="L385" s="4"/>
      <c r="M385" s="4"/>
    </row>
    <row r="386" spans="1:27" x14ac:dyDescent="0.55000000000000004">
      <c r="B386" s="9" t="s">
        <v>390</v>
      </c>
      <c r="C386" s="5" t="s">
        <v>1016</v>
      </c>
      <c r="D386" s="4"/>
      <c r="E386" s="4"/>
      <c r="F386" s="4"/>
      <c r="G386" s="4"/>
      <c r="H386" s="4"/>
      <c r="I386" s="4"/>
      <c r="J386" s="4"/>
      <c r="K386" s="4"/>
      <c r="L386" s="4"/>
      <c r="M386" s="4"/>
    </row>
    <row r="387" spans="1:27" x14ac:dyDescent="0.55000000000000004">
      <c r="B387" s="9" t="s">
        <v>846</v>
      </c>
      <c r="C387" s="5">
        <v>1</v>
      </c>
      <c r="D387" s="4"/>
      <c r="E387" s="4"/>
      <c r="F387" s="4"/>
      <c r="G387" s="4"/>
      <c r="H387" s="4"/>
      <c r="I387" s="4"/>
      <c r="J387" s="4"/>
      <c r="K387" s="4"/>
      <c r="L387" s="4"/>
      <c r="M387" s="4"/>
    </row>
    <row r="388" spans="1:27" x14ac:dyDescent="0.55000000000000004">
      <c r="B388" s="9" t="s">
        <v>432</v>
      </c>
      <c r="C388" s="5">
        <v>0.1</v>
      </c>
      <c r="D388" s="4"/>
      <c r="E388" s="4"/>
      <c r="F388" s="4"/>
      <c r="G388" s="4"/>
      <c r="H388" s="4"/>
      <c r="I388" s="4"/>
      <c r="J388" s="4"/>
      <c r="K388" s="4"/>
      <c r="L388" s="4"/>
      <c r="M388" s="4"/>
    </row>
    <row r="389" spans="1:27" x14ac:dyDescent="0.55000000000000004">
      <c r="B389" s="9" t="s">
        <v>433</v>
      </c>
      <c r="C389" s="5">
        <v>36</v>
      </c>
      <c r="D389" s="4"/>
      <c r="E389" s="4"/>
      <c r="F389" s="4"/>
      <c r="G389" s="4"/>
      <c r="H389" s="4"/>
      <c r="I389" s="4"/>
      <c r="J389" s="4"/>
      <c r="K389" s="4"/>
      <c r="L389" s="4"/>
      <c r="M389" s="4"/>
    </row>
    <row r="390" spans="1:27" x14ac:dyDescent="0.55000000000000004">
      <c r="B390" s="16"/>
      <c r="C390" s="4" t="s">
        <v>458</v>
      </c>
      <c r="D390" s="4"/>
      <c r="E390" s="4"/>
      <c r="F390" s="4"/>
      <c r="G390" s="4"/>
      <c r="H390" s="4"/>
      <c r="I390" s="4"/>
      <c r="J390" s="4"/>
      <c r="K390" s="4"/>
      <c r="L390" s="4"/>
      <c r="M390" s="4"/>
    </row>
    <row r="391" spans="1:27" x14ac:dyDescent="0.55000000000000004">
      <c r="B391" s="61" t="s">
        <v>43</v>
      </c>
      <c r="C391" s="33" t="s">
        <v>43</v>
      </c>
      <c r="D391" s="4"/>
      <c r="E391" s="4"/>
      <c r="F391" s="4"/>
      <c r="G391" s="4"/>
      <c r="H391" s="4"/>
      <c r="I391" s="4"/>
      <c r="J391" s="4"/>
      <c r="K391" s="4"/>
      <c r="L391" s="4"/>
      <c r="M391" s="4"/>
    </row>
    <row r="392" spans="1:27" x14ac:dyDescent="0.55000000000000004">
      <c r="B392" s="9" t="s">
        <v>434</v>
      </c>
      <c r="C392" s="5" t="s">
        <v>982</v>
      </c>
      <c r="D392" s="4"/>
      <c r="E392" s="4"/>
      <c r="F392" s="4"/>
      <c r="G392" s="4"/>
      <c r="H392" s="4"/>
      <c r="I392" s="4"/>
      <c r="J392" s="4"/>
      <c r="K392" s="4"/>
      <c r="L392" s="4"/>
      <c r="M392" s="4"/>
    </row>
    <row r="393" spans="1:27" x14ac:dyDescent="0.55000000000000004">
      <c r="B393" s="9" t="s">
        <v>435</v>
      </c>
      <c r="C393" s="5">
        <v>0</v>
      </c>
      <c r="D393" s="4"/>
      <c r="E393" s="4"/>
      <c r="F393" s="4"/>
      <c r="G393" s="4"/>
      <c r="H393" s="4"/>
      <c r="I393" s="4"/>
      <c r="J393" s="4"/>
      <c r="K393" s="4"/>
      <c r="L393" s="4"/>
      <c r="M393" s="4"/>
    </row>
    <row r="394" spans="1:27" x14ac:dyDescent="0.55000000000000004">
      <c r="B394" s="9" t="s">
        <v>519</v>
      </c>
      <c r="C394" s="5" t="s">
        <v>982</v>
      </c>
      <c r="D394" s="4"/>
      <c r="E394" s="4"/>
      <c r="F394" s="4"/>
      <c r="G394" s="4"/>
      <c r="H394" s="4"/>
      <c r="I394" s="4"/>
      <c r="J394" s="4"/>
      <c r="K394" s="4"/>
      <c r="L394" s="4"/>
      <c r="M394" s="4"/>
    </row>
    <row r="395" spans="1:27" x14ac:dyDescent="0.55000000000000004">
      <c r="B395" s="9" t="s">
        <v>436</v>
      </c>
      <c r="C395" s="5" t="s">
        <v>2256</v>
      </c>
      <c r="D395" s="4"/>
      <c r="E395" s="4"/>
      <c r="F395" s="4"/>
      <c r="G395" s="4"/>
      <c r="H395" s="4"/>
      <c r="I395" s="4"/>
      <c r="J395" s="4"/>
      <c r="K395" s="4"/>
      <c r="L395" s="4"/>
      <c r="M395" s="4"/>
    </row>
    <row r="396" spans="1:27" x14ac:dyDescent="0.55000000000000004">
      <c r="B396" s="9" t="s">
        <v>847</v>
      </c>
      <c r="C396" s="5"/>
      <c r="D396" s="4"/>
      <c r="E396" s="4"/>
      <c r="F396" s="4"/>
      <c r="G396" s="4"/>
      <c r="H396" s="4"/>
      <c r="I396" s="4"/>
      <c r="J396" s="4"/>
      <c r="K396" s="4"/>
      <c r="L396" s="4"/>
      <c r="M396" s="4"/>
      <c r="AA396" s="2"/>
    </row>
    <row r="397" spans="1:27" x14ac:dyDescent="0.55000000000000004">
      <c r="B397" s="9" t="s">
        <v>848</v>
      </c>
      <c r="C397" s="5"/>
      <c r="D397" s="4"/>
      <c r="E397" s="4"/>
      <c r="F397" s="4"/>
      <c r="G397" s="4"/>
      <c r="H397" s="4"/>
      <c r="I397" s="4"/>
      <c r="J397" s="4"/>
      <c r="K397" s="4"/>
      <c r="L397" s="4"/>
      <c r="M397" s="4"/>
    </row>
    <row r="398" spans="1:27" x14ac:dyDescent="0.55000000000000004">
      <c r="B398" s="16"/>
      <c r="C398" s="4" t="s">
        <v>458</v>
      </c>
      <c r="D398" s="4"/>
      <c r="E398" s="4"/>
      <c r="F398" s="4"/>
      <c r="G398" s="4"/>
      <c r="H398" s="4"/>
      <c r="I398" s="4"/>
      <c r="J398" s="4"/>
      <c r="K398" s="4"/>
      <c r="L398" s="4"/>
      <c r="M398" s="4"/>
    </row>
    <row r="399" spans="1:27" x14ac:dyDescent="0.55000000000000004">
      <c r="A399" s="7" t="s">
        <v>1488</v>
      </c>
      <c r="B399" s="61" t="s">
        <v>517</v>
      </c>
      <c r="C399" s="33" t="s">
        <v>44</v>
      </c>
      <c r="D399" s="4" t="s">
        <v>45</v>
      </c>
      <c r="E399" s="4" t="s">
        <v>46</v>
      </c>
      <c r="F399" s="4" t="s">
        <v>1487</v>
      </c>
      <c r="G399" s="4" t="s">
        <v>1486</v>
      </c>
      <c r="H399" s="4"/>
      <c r="I399" s="4"/>
      <c r="J399" s="4"/>
      <c r="K399" s="4"/>
      <c r="L399" s="4"/>
      <c r="M399" s="4"/>
    </row>
    <row r="400" spans="1:27" x14ac:dyDescent="0.55000000000000004">
      <c r="A400" s="57" t="s">
        <v>1489</v>
      </c>
      <c r="B400" s="9" t="s">
        <v>1490</v>
      </c>
      <c r="C400" s="5" t="s">
        <v>998</v>
      </c>
      <c r="D400" s="5" t="s">
        <v>998</v>
      </c>
      <c r="E400" s="5">
        <v>10</v>
      </c>
      <c r="F400" s="5">
        <v>400</v>
      </c>
      <c r="G400" s="5" t="s">
        <v>998</v>
      </c>
    </row>
    <row r="401" spans="1:14" x14ac:dyDescent="0.55000000000000004">
      <c r="B401" s="16"/>
      <c r="C401" s="4" t="s">
        <v>458</v>
      </c>
      <c r="D401" s="4"/>
      <c r="E401" s="4"/>
      <c r="F401" s="4"/>
      <c r="G401" s="4"/>
      <c r="H401" s="4"/>
      <c r="I401" s="4"/>
      <c r="J401" s="4"/>
      <c r="K401" s="4"/>
      <c r="L401" s="4"/>
    </row>
    <row r="402" spans="1:14" x14ac:dyDescent="0.55000000000000004">
      <c r="B402" s="61" t="s">
        <v>1233</v>
      </c>
      <c r="C402" s="4" t="s">
        <v>82</v>
      </c>
      <c r="D402" s="4" t="s">
        <v>83</v>
      </c>
      <c r="E402" s="4" t="s">
        <v>84</v>
      </c>
      <c r="F402" s="4" t="s">
        <v>85</v>
      </c>
      <c r="G402" s="4" t="s">
        <v>86</v>
      </c>
      <c r="H402" s="4" t="s">
        <v>87</v>
      </c>
      <c r="I402" s="4" t="s">
        <v>88</v>
      </c>
      <c r="J402" s="4" t="s">
        <v>89</v>
      </c>
      <c r="K402" s="4" t="s">
        <v>93</v>
      </c>
      <c r="L402" s="4" t="s">
        <v>94</v>
      </c>
    </row>
    <row r="403" spans="1:14" x14ac:dyDescent="0.55000000000000004">
      <c r="B403" s="9" t="s">
        <v>1243</v>
      </c>
      <c r="C403" s="5" t="s">
        <v>11</v>
      </c>
      <c r="D403" s="5"/>
      <c r="E403" s="5"/>
      <c r="F403" s="5"/>
      <c r="G403" s="5"/>
      <c r="H403" s="5"/>
      <c r="I403" s="5"/>
      <c r="J403" s="5"/>
      <c r="K403" s="5"/>
      <c r="L403" s="5"/>
    </row>
    <row r="404" spans="1:14" x14ac:dyDescent="0.55000000000000004">
      <c r="B404" s="9" t="s">
        <v>1242</v>
      </c>
      <c r="C404" s="5" t="s">
        <v>2</v>
      </c>
      <c r="D404" s="5"/>
      <c r="E404" s="5"/>
      <c r="F404" s="5"/>
      <c r="G404" s="5"/>
      <c r="H404" s="5"/>
      <c r="I404" s="5"/>
      <c r="J404" s="5"/>
      <c r="K404" s="5"/>
      <c r="L404" s="5"/>
    </row>
    <row r="405" spans="1:14" ht="15.6" x14ac:dyDescent="0.6">
      <c r="A405" s="28" t="s">
        <v>920</v>
      </c>
      <c r="B405" s="105">
        <f>C22+D22+NAL+G22*3+32+I22+4</f>
        <v>76</v>
      </c>
      <c r="C405" s="4"/>
      <c r="D405" s="4"/>
      <c r="E405" s="4"/>
      <c r="F405" s="31"/>
      <c r="G405" s="4"/>
      <c r="H405" s="4" t="s">
        <v>975</v>
      </c>
      <c r="I405" s="4"/>
      <c r="J405" s="4"/>
      <c r="K405" s="4"/>
      <c r="L405" s="4"/>
      <c r="M405" s="6"/>
    </row>
    <row r="406" spans="1:14" x14ac:dyDescent="0.55000000000000004">
      <c r="B406" s="61" t="s">
        <v>518</v>
      </c>
      <c r="C406" s="4" t="s">
        <v>1653</v>
      </c>
      <c r="D406" s="3" t="s">
        <v>1654</v>
      </c>
      <c r="E406" s="4" t="s">
        <v>2257</v>
      </c>
      <c r="F406" s="4" t="s">
        <v>2258</v>
      </c>
      <c r="G406" s="4" t="s">
        <v>2259</v>
      </c>
      <c r="H406" s="4" t="s">
        <v>2260</v>
      </c>
      <c r="I406" s="4" t="s">
        <v>2261</v>
      </c>
      <c r="J406" s="36" t="s">
        <v>2262</v>
      </c>
      <c r="K406" s="4" t="s">
        <v>2263</v>
      </c>
      <c r="L406" s="4" t="s">
        <v>2264</v>
      </c>
      <c r="M406" s="4" t="s">
        <v>2265</v>
      </c>
      <c r="N406" s="4" t="s">
        <v>2266</v>
      </c>
    </row>
    <row r="407" spans="1:14" x14ac:dyDescent="0.55000000000000004">
      <c r="A407" t="s">
        <v>604</v>
      </c>
      <c r="B407" s="10">
        <v>1</v>
      </c>
      <c r="C407" s="5" t="s">
        <v>1019</v>
      </c>
      <c r="D407" s="5" t="s">
        <v>2391</v>
      </c>
      <c r="E407" s="5" t="s">
        <v>982</v>
      </c>
      <c r="F407" s="5" t="s">
        <v>2267</v>
      </c>
      <c r="G407" s="5">
        <v>1</v>
      </c>
      <c r="H407" s="5">
        <v>0</v>
      </c>
      <c r="I407" s="5" t="s">
        <v>998</v>
      </c>
      <c r="J407" s="32" t="s">
        <v>11</v>
      </c>
      <c r="K407" s="5" t="s">
        <v>998</v>
      </c>
      <c r="L407" s="5" t="s">
        <v>998</v>
      </c>
      <c r="M407" s="5" t="s">
        <v>998</v>
      </c>
      <c r="N407" s="5" t="s">
        <v>998</v>
      </c>
    </row>
    <row r="408" spans="1:14" x14ac:dyDescent="0.55000000000000004">
      <c r="A408" s="25" t="s">
        <v>921</v>
      </c>
      <c r="B408" s="9">
        <v>2</v>
      </c>
      <c r="C408" s="5" t="s">
        <v>1020</v>
      </c>
      <c r="D408" s="5" t="s">
        <v>2392</v>
      </c>
      <c r="E408" s="5" t="s">
        <v>998</v>
      </c>
      <c r="F408" s="5" t="s">
        <v>2267</v>
      </c>
      <c r="G408" s="5">
        <v>1</v>
      </c>
      <c r="H408" s="5">
        <v>0</v>
      </c>
      <c r="I408" s="5" t="s">
        <v>998</v>
      </c>
      <c r="J408" s="32" t="s">
        <v>11</v>
      </c>
      <c r="K408" s="5" t="s">
        <v>982</v>
      </c>
      <c r="L408" s="5" t="s">
        <v>982</v>
      </c>
      <c r="M408" s="5" t="s">
        <v>982</v>
      </c>
      <c r="N408" s="5" t="s">
        <v>982</v>
      </c>
    </row>
    <row r="409" spans="1:14" x14ac:dyDescent="0.55000000000000004">
      <c r="B409" s="10">
        <v>3</v>
      </c>
      <c r="C409" s="5" t="s">
        <v>1021</v>
      </c>
      <c r="D409" s="5" t="s">
        <v>2393</v>
      </c>
      <c r="E409" s="5" t="s">
        <v>982</v>
      </c>
      <c r="F409" s="5" t="s">
        <v>2267</v>
      </c>
      <c r="G409" s="5">
        <v>1</v>
      </c>
      <c r="H409" s="5">
        <v>0</v>
      </c>
      <c r="I409" s="5" t="s">
        <v>998</v>
      </c>
      <c r="J409" s="32" t="s">
        <v>11</v>
      </c>
      <c r="K409" s="5" t="s">
        <v>982</v>
      </c>
      <c r="L409" s="5" t="s">
        <v>998</v>
      </c>
      <c r="M409" s="5" t="s">
        <v>998</v>
      </c>
      <c r="N409" s="5" t="s">
        <v>998</v>
      </c>
    </row>
    <row r="410" spans="1:14" x14ac:dyDescent="0.55000000000000004">
      <c r="A410" s="2" t="s">
        <v>643</v>
      </c>
      <c r="B410" s="9">
        <v>4</v>
      </c>
      <c r="C410" s="5" t="s">
        <v>1022</v>
      </c>
      <c r="D410" s="5" t="s">
        <v>2394</v>
      </c>
      <c r="E410" s="5" t="s">
        <v>982</v>
      </c>
      <c r="F410" s="5" t="s">
        <v>2267</v>
      </c>
      <c r="G410" s="5">
        <v>1</v>
      </c>
      <c r="H410" s="5">
        <v>0</v>
      </c>
      <c r="I410" s="5" t="s">
        <v>998</v>
      </c>
      <c r="J410" s="32" t="s">
        <v>11</v>
      </c>
      <c r="K410" s="5" t="s">
        <v>982</v>
      </c>
      <c r="L410" s="5" t="s">
        <v>998</v>
      </c>
      <c r="M410" s="5" t="s">
        <v>998</v>
      </c>
      <c r="N410" s="5" t="s">
        <v>998</v>
      </c>
    </row>
    <row r="411" spans="1:14" x14ac:dyDescent="0.55000000000000004">
      <c r="B411" s="10">
        <v>5</v>
      </c>
      <c r="C411" s="5" t="s">
        <v>1659</v>
      </c>
      <c r="D411" s="5" t="s">
        <v>2395</v>
      </c>
      <c r="E411" s="64" t="s">
        <v>982</v>
      </c>
      <c r="F411" s="64" t="s">
        <v>2267</v>
      </c>
      <c r="G411" s="64">
        <v>1</v>
      </c>
      <c r="H411" s="64">
        <v>0</v>
      </c>
      <c r="I411" s="64" t="s">
        <v>998</v>
      </c>
      <c r="J411" s="32" t="s">
        <v>11</v>
      </c>
      <c r="K411" s="64" t="s">
        <v>998</v>
      </c>
      <c r="L411" s="64" t="s">
        <v>998</v>
      </c>
      <c r="M411" s="64" t="s">
        <v>998</v>
      </c>
      <c r="N411" s="64" t="s">
        <v>998</v>
      </c>
    </row>
    <row r="412" spans="1:14" x14ac:dyDescent="0.55000000000000004">
      <c r="B412" s="9">
        <v>6</v>
      </c>
      <c r="C412" s="11" t="s">
        <v>1661</v>
      </c>
      <c r="D412" s="63" t="s">
        <v>2396</v>
      </c>
      <c r="E412" s="64" t="s">
        <v>982</v>
      </c>
      <c r="F412" s="64" t="s">
        <v>2267</v>
      </c>
      <c r="G412" s="64">
        <v>1</v>
      </c>
      <c r="H412" s="5">
        <v>0</v>
      </c>
      <c r="I412" s="5" t="s">
        <v>998</v>
      </c>
      <c r="J412" s="5" t="s">
        <v>11</v>
      </c>
      <c r="K412" s="5" t="s">
        <v>982</v>
      </c>
      <c r="L412" s="5" t="s">
        <v>998</v>
      </c>
      <c r="M412" s="5" t="s">
        <v>998</v>
      </c>
      <c r="N412" s="5" t="s">
        <v>998</v>
      </c>
    </row>
    <row r="413" spans="1:14" x14ac:dyDescent="0.55000000000000004">
      <c r="A413" s="34" t="s">
        <v>1230</v>
      </c>
      <c r="B413" s="10">
        <v>7</v>
      </c>
      <c r="C413" s="11" t="s">
        <v>1023</v>
      </c>
      <c r="D413" s="63" t="s">
        <v>2397</v>
      </c>
      <c r="E413" s="5" t="s">
        <v>998</v>
      </c>
      <c r="F413" s="64" t="s">
        <v>2267</v>
      </c>
      <c r="G413" s="64">
        <v>1</v>
      </c>
      <c r="H413" s="5">
        <v>0</v>
      </c>
      <c r="I413" s="5" t="s">
        <v>998</v>
      </c>
      <c r="J413" s="5" t="s">
        <v>11</v>
      </c>
      <c r="K413" s="5" t="s">
        <v>998</v>
      </c>
      <c r="L413" s="5" t="s">
        <v>998</v>
      </c>
      <c r="M413" s="5" t="s">
        <v>998</v>
      </c>
      <c r="N413" s="5" t="s">
        <v>998</v>
      </c>
    </row>
    <row r="414" spans="1:14" x14ac:dyDescent="0.55000000000000004">
      <c r="A414" s="24" t="s">
        <v>1231</v>
      </c>
      <c r="B414" s="65">
        <v>8</v>
      </c>
      <c r="C414" s="5" t="s">
        <v>1535</v>
      </c>
      <c r="D414" s="5" t="s">
        <v>2392</v>
      </c>
      <c r="E414" s="5" t="s">
        <v>11</v>
      </c>
      <c r="F414" s="64" t="s">
        <v>123</v>
      </c>
      <c r="G414" s="64">
        <v>1</v>
      </c>
      <c r="H414" s="5">
        <v>0</v>
      </c>
      <c r="I414" s="5" t="s">
        <v>11</v>
      </c>
      <c r="J414" s="5" t="s">
        <v>11</v>
      </c>
      <c r="K414" s="5" t="s">
        <v>11</v>
      </c>
      <c r="L414" s="5" t="s">
        <v>11</v>
      </c>
      <c r="M414" s="5" t="s">
        <v>11</v>
      </c>
      <c r="N414" s="5" t="s">
        <v>11</v>
      </c>
    </row>
    <row r="415" spans="1:14" x14ac:dyDescent="0.55000000000000004">
      <c r="A415" s="24" t="s">
        <v>1616</v>
      </c>
      <c r="B415" s="10">
        <v>9</v>
      </c>
      <c r="C415" s="5" t="s">
        <v>1536</v>
      </c>
      <c r="D415" s="5" t="s">
        <v>2394</v>
      </c>
      <c r="E415" s="5" t="s">
        <v>11</v>
      </c>
      <c r="F415" s="64" t="s">
        <v>123</v>
      </c>
      <c r="G415" s="64">
        <v>1</v>
      </c>
      <c r="H415" s="5">
        <v>0</v>
      </c>
      <c r="I415" s="5" t="s">
        <v>11</v>
      </c>
      <c r="J415" s="5" t="s">
        <v>11</v>
      </c>
      <c r="K415" s="5" t="s">
        <v>11</v>
      </c>
      <c r="L415" s="5" t="s">
        <v>11</v>
      </c>
      <c r="M415" s="5" t="s">
        <v>11</v>
      </c>
      <c r="N415" s="5" t="s">
        <v>11</v>
      </c>
    </row>
    <row r="416" spans="1:14" x14ac:dyDescent="0.55000000000000004">
      <c r="A416" s="24" t="s">
        <v>1615</v>
      </c>
      <c r="B416" s="65">
        <v>10</v>
      </c>
      <c r="C416" s="5" t="s">
        <v>2268</v>
      </c>
      <c r="D416" s="5" t="s">
        <v>2398</v>
      </c>
      <c r="E416" s="5" t="s">
        <v>11</v>
      </c>
      <c r="F416" s="64" t="s">
        <v>123</v>
      </c>
      <c r="G416" s="64">
        <v>1</v>
      </c>
      <c r="H416" s="5">
        <v>0</v>
      </c>
      <c r="I416" s="5" t="s">
        <v>11</v>
      </c>
      <c r="J416" s="5" t="s">
        <v>11</v>
      </c>
      <c r="K416" s="5" t="s">
        <v>11</v>
      </c>
      <c r="L416" s="5" t="s">
        <v>11</v>
      </c>
      <c r="M416" s="5" t="s">
        <v>11</v>
      </c>
      <c r="N416" s="5" t="s">
        <v>11</v>
      </c>
    </row>
    <row r="417" spans="1:14" x14ac:dyDescent="0.55000000000000004">
      <c r="A417" s="24" t="s">
        <v>1617</v>
      </c>
      <c r="B417" s="10">
        <v>11</v>
      </c>
      <c r="C417" s="5" t="s">
        <v>2269</v>
      </c>
      <c r="D417" s="5" t="s">
        <v>2399</v>
      </c>
      <c r="E417" s="5" t="s">
        <v>11</v>
      </c>
      <c r="F417" s="64" t="s">
        <v>123</v>
      </c>
      <c r="G417" s="64">
        <v>1</v>
      </c>
      <c r="H417" s="5">
        <v>0</v>
      </c>
      <c r="I417" s="5" t="s">
        <v>11</v>
      </c>
      <c r="J417" s="5" t="s">
        <v>11</v>
      </c>
      <c r="K417" s="5" t="s">
        <v>11</v>
      </c>
      <c r="L417" s="5" t="s">
        <v>11</v>
      </c>
      <c r="M417" s="5" t="s">
        <v>11</v>
      </c>
      <c r="N417" s="5" t="s">
        <v>11</v>
      </c>
    </row>
    <row r="418" spans="1:14" x14ac:dyDescent="0.55000000000000004">
      <c r="A418" s="24" t="s">
        <v>1618</v>
      </c>
      <c r="B418" s="65">
        <v>12</v>
      </c>
      <c r="C418" s="5" t="s">
        <v>2270</v>
      </c>
      <c r="D418" s="5" t="s">
        <v>2400</v>
      </c>
      <c r="E418" s="5" t="s">
        <v>11</v>
      </c>
      <c r="F418" s="64" t="s">
        <v>123</v>
      </c>
      <c r="G418" s="64">
        <v>1</v>
      </c>
      <c r="H418" s="5">
        <v>0</v>
      </c>
      <c r="I418" s="5" t="s">
        <v>11</v>
      </c>
      <c r="J418" s="5" t="s">
        <v>11</v>
      </c>
      <c r="K418" s="5" t="s">
        <v>11</v>
      </c>
      <c r="L418" s="5" t="s">
        <v>11</v>
      </c>
      <c r="M418" s="5" t="s">
        <v>11</v>
      </c>
      <c r="N418" s="5" t="s">
        <v>11</v>
      </c>
    </row>
    <row r="419" spans="1:14" x14ac:dyDescent="0.55000000000000004">
      <c r="A419" s="24" t="s">
        <v>1619</v>
      </c>
      <c r="B419" s="10">
        <v>13</v>
      </c>
      <c r="C419" s="5" t="s">
        <v>2271</v>
      </c>
      <c r="D419" s="5" t="s">
        <v>2401</v>
      </c>
      <c r="E419" s="5" t="s">
        <v>11</v>
      </c>
      <c r="F419" s="64" t="s">
        <v>123</v>
      </c>
      <c r="G419" s="64">
        <v>1</v>
      </c>
      <c r="H419" s="5">
        <v>0</v>
      </c>
      <c r="I419" s="5" t="s">
        <v>11</v>
      </c>
      <c r="J419" s="5" t="s">
        <v>11</v>
      </c>
      <c r="K419" s="5" t="s">
        <v>11</v>
      </c>
      <c r="L419" s="5" t="s">
        <v>11</v>
      </c>
      <c r="M419" s="5" t="s">
        <v>11</v>
      </c>
      <c r="N419" s="5" t="s">
        <v>11</v>
      </c>
    </row>
    <row r="420" spans="1:14" x14ac:dyDescent="0.55000000000000004">
      <c r="A420" s="24" t="s">
        <v>1620</v>
      </c>
      <c r="B420" s="65">
        <v>14</v>
      </c>
      <c r="C420" s="5" t="s">
        <v>2272</v>
      </c>
      <c r="D420" s="5" t="s">
        <v>2402</v>
      </c>
      <c r="E420" s="5" t="s">
        <v>11</v>
      </c>
      <c r="F420" s="64" t="s">
        <v>123</v>
      </c>
      <c r="G420" s="64">
        <v>1</v>
      </c>
      <c r="H420" s="5">
        <v>0</v>
      </c>
      <c r="I420" s="5" t="s">
        <v>11</v>
      </c>
      <c r="J420" s="5" t="s">
        <v>11</v>
      </c>
      <c r="K420" s="5" t="s">
        <v>11</v>
      </c>
      <c r="L420" s="5" t="s">
        <v>11</v>
      </c>
      <c r="M420" s="5" t="s">
        <v>11</v>
      </c>
      <c r="N420" s="5" t="s">
        <v>11</v>
      </c>
    </row>
    <row r="421" spans="1:14" x14ac:dyDescent="0.55000000000000004">
      <c r="A421" s="24" t="s">
        <v>1621</v>
      </c>
      <c r="B421" s="10">
        <v>15</v>
      </c>
      <c r="C421" s="5" t="s">
        <v>2273</v>
      </c>
      <c r="D421" s="5" t="s">
        <v>2403</v>
      </c>
      <c r="E421" s="5" t="s">
        <v>11</v>
      </c>
      <c r="F421" s="64" t="s">
        <v>123</v>
      </c>
      <c r="G421" s="64">
        <v>1</v>
      </c>
      <c r="H421" s="5">
        <v>0</v>
      </c>
      <c r="I421" s="5" t="s">
        <v>11</v>
      </c>
      <c r="J421" s="5" t="s">
        <v>11</v>
      </c>
      <c r="K421" s="5" t="s">
        <v>11</v>
      </c>
      <c r="L421" s="5" t="s">
        <v>11</v>
      </c>
      <c r="M421" s="5" t="s">
        <v>11</v>
      </c>
      <c r="N421" s="5" t="s">
        <v>11</v>
      </c>
    </row>
    <row r="422" spans="1:14" x14ac:dyDescent="0.55000000000000004">
      <c r="A422" s="24" t="s">
        <v>1232</v>
      </c>
      <c r="B422" s="65">
        <v>16</v>
      </c>
      <c r="C422" s="5" t="s">
        <v>2274</v>
      </c>
      <c r="D422" s="5" t="s">
        <v>2404</v>
      </c>
      <c r="E422" s="5" t="s">
        <v>11</v>
      </c>
      <c r="F422" s="5" t="s">
        <v>123</v>
      </c>
      <c r="G422" s="5">
        <v>1</v>
      </c>
      <c r="H422" s="5">
        <v>0</v>
      </c>
      <c r="I422" s="5" t="s">
        <v>11</v>
      </c>
      <c r="J422" s="5" t="s">
        <v>11</v>
      </c>
      <c r="K422" s="5" t="s">
        <v>11</v>
      </c>
      <c r="L422" s="5" t="s">
        <v>11</v>
      </c>
      <c r="M422" s="5" t="s">
        <v>11</v>
      </c>
      <c r="N422" s="5" t="s">
        <v>11</v>
      </c>
    </row>
    <row r="423" spans="1:14" ht="15.6" x14ac:dyDescent="0.6">
      <c r="A423" s="35" t="str">
        <f>IF((A424+2)&gt;=26,CHAR(65)&amp;CHAR(65+1+A424-26),CHAR(65+1+A424))</f>
        <v>N</v>
      </c>
      <c r="B423" s="10">
        <v>17</v>
      </c>
      <c r="C423" s="5" t="s">
        <v>2275</v>
      </c>
      <c r="D423" s="5" t="s">
        <v>2405</v>
      </c>
      <c r="E423" s="14" t="s">
        <v>11</v>
      </c>
      <c r="F423" s="5" t="s">
        <v>123</v>
      </c>
      <c r="G423" s="5">
        <v>1</v>
      </c>
      <c r="H423" s="14">
        <v>0</v>
      </c>
      <c r="I423" s="14" t="s">
        <v>11</v>
      </c>
      <c r="J423" s="5" t="s">
        <v>11</v>
      </c>
      <c r="K423" s="14" t="s">
        <v>11</v>
      </c>
      <c r="L423" s="14" t="s">
        <v>11</v>
      </c>
      <c r="M423" s="14" t="s">
        <v>11</v>
      </c>
      <c r="N423" s="14" t="s">
        <v>11</v>
      </c>
    </row>
    <row r="424" spans="1:14" x14ac:dyDescent="0.55000000000000004">
      <c r="A424" s="24">
        <f>IF($C$19=0,5+3*$C$16+3*$D$16+1,5+3*$C$16+3*$D$16+$C$19)</f>
        <v>12</v>
      </c>
      <c r="B424" s="9">
        <v>18</v>
      </c>
      <c r="C424" s="5" t="s">
        <v>2276</v>
      </c>
      <c r="D424" s="5" t="s">
        <v>2406</v>
      </c>
      <c r="E424" s="5" t="s">
        <v>11</v>
      </c>
      <c r="F424" s="5" t="s">
        <v>123</v>
      </c>
      <c r="G424" s="5">
        <v>1</v>
      </c>
      <c r="H424" s="5">
        <v>0</v>
      </c>
      <c r="I424" s="5" t="s">
        <v>11</v>
      </c>
      <c r="J424" s="5" t="s">
        <v>11</v>
      </c>
      <c r="K424" s="5" t="s">
        <v>11</v>
      </c>
      <c r="L424" s="5" t="s">
        <v>11</v>
      </c>
      <c r="M424" s="5" t="s">
        <v>11</v>
      </c>
      <c r="N424" s="5" t="s">
        <v>11</v>
      </c>
    </row>
    <row r="425" spans="1:14" x14ac:dyDescent="0.55000000000000004">
      <c r="B425" s="10">
        <v>19</v>
      </c>
      <c r="C425" s="5" t="s">
        <v>1024</v>
      </c>
      <c r="D425" s="5" t="s">
        <v>2407</v>
      </c>
      <c r="E425" s="5" t="s">
        <v>982</v>
      </c>
      <c r="F425" s="5" t="s">
        <v>2267</v>
      </c>
      <c r="G425" s="5">
        <v>1</v>
      </c>
      <c r="H425" s="5">
        <v>0.03</v>
      </c>
      <c r="I425" s="5" t="s">
        <v>998</v>
      </c>
      <c r="J425" s="5" t="s">
        <v>11</v>
      </c>
      <c r="K425" s="5" t="s">
        <v>998</v>
      </c>
      <c r="L425" s="5" t="s">
        <v>998</v>
      </c>
      <c r="M425" s="5" t="s">
        <v>998</v>
      </c>
      <c r="N425" s="5" t="s">
        <v>998</v>
      </c>
    </row>
    <row r="426" spans="1:14" x14ac:dyDescent="0.55000000000000004">
      <c r="B426" s="9">
        <v>20</v>
      </c>
      <c r="C426" s="5" t="s">
        <v>1025</v>
      </c>
      <c r="D426" s="5" t="s">
        <v>2408</v>
      </c>
      <c r="E426" s="5" t="s">
        <v>982</v>
      </c>
      <c r="F426" s="5" t="s">
        <v>2267</v>
      </c>
      <c r="G426" s="5">
        <v>1</v>
      </c>
      <c r="H426" s="5">
        <v>0.01</v>
      </c>
      <c r="I426" s="5" t="s">
        <v>998</v>
      </c>
      <c r="J426" s="5" t="s">
        <v>11</v>
      </c>
      <c r="K426" s="5" t="s">
        <v>998</v>
      </c>
      <c r="L426" s="5" t="s">
        <v>998</v>
      </c>
      <c r="M426" s="5" t="s">
        <v>998</v>
      </c>
      <c r="N426" s="5" t="s">
        <v>998</v>
      </c>
    </row>
    <row r="427" spans="1:14" x14ac:dyDescent="0.55000000000000004">
      <c r="B427" s="10">
        <v>21</v>
      </c>
      <c r="C427" s="5" t="s">
        <v>1026</v>
      </c>
      <c r="D427" s="5" t="s">
        <v>2409</v>
      </c>
      <c r="E427" s="5" t="s">
        <v>982</v>
      </c>
      <c r="F427" s="5" t="s">
        <v>2267</v>
      </c>
      <c r="G427" s="5">
        <v>1</v>
      </c>
      <c r="H427" s="5">
        <v>0.3</v>
      </c>
      <c r="I427" s="5" t="s">
        <v>998</v>
      </c>
      <c r="J427" s="5" t="s">
        <v>11</v>
      </c>
      <c r="K427" s="5" t="s">
        <v>998</v>
      </c>
      <c r="L427" s="5" t="s">
        <v>998</v>
      </c>
      <c r="M427" s="5" t="s">
        <v>998</v>
      </c>
      <c r="N427" s="5" t="s">
        <v>998</v>
      </c>
    </row>
    <row r="428" spans="1:14" x14ac:dyDescent="0.55000000000000004">
      <c r="B428" s="9">
        <v>22</v>
      </c>
      <c r="C428" s="5" t="s">
        <v>1027</v>
      </c>
      <c r="D428" s="5" t="s">
        <v>2410</v>
      </c>
      <c r="E428" s="5" t="s">
        <v>982</v>
      </c>
      <c r="F428" s="5" t="s">
        <v>2267</v>
      </c>
      <c r="G428" s="5">
        <v>1</v>
      </c>
      <c r="H428" s="5">
        <v>0</v>
      </c>
      <c r="I428" s="5" t="s">
        <v>982</v>
      </c>
      <c r="J428" s="5" t="s">
        <v>11</v>
      </c>
      <c r="K428" s="5" t="s">
        <v>982</v>
      </c>
      <c r="L428" s="5" t="s">
        <v>982</v>
      </c>
      <c r="M428" s="5" t="s">
        <v>982</v>
      </c>
      <c r="N428" s="5" t="s">
        <v>982</v>
      </c>
    </row>
    <row r="429" spans="1:14" x14ac:dyDescent="0.55000000000000004">
      <c r="B429" s="10">
        <v>23</v>
      </c>
      <c r="C429" s="5" t="s">
        <v>1028</v>
      </c>
      <c r="D429" s="5" t="s">
        <v>2411</v>
      </c>
      <c r="E429" s="5" t="s">
        <v>982</v>
      </c>
      <c r="F429" s="5" t="s">
        <v>2267</v>
      </c>
      <c r="G429" s="5">
        <v>1</v>
      </c>
      <c r="H429" s="5">
        <v>0</v>
      </c>
      <c r="I429" s="5" t="s">
        <v>982</v>
      </c>
      <c r="J429" s="5" t="s">
        <v>11</v>
      </c>
      <c r="K429" s="5" t="s">
        <v>982</v>
      </c>
      <c r="L429" s="5" t="s">
        <v>982</v>
      </c>
      <c r="M429" s="5" t="s">
        <v>982</v>
      </c>
      <c r="N429" s="5" t="s">
        <v>982</v>
      </c>
    </row>
    <row r="430" spans="1:14" x14ac:dyDescent="0.55000000000000004">
      <c r="B430" s="9">
        <v>24</v>
      </c>
      <c r="C430" s="5" t="s">
        <v>1030</v>
      </c>
      <c r="D430" s="5" t="s">
        <v>2412</v>
      </c>
      <c r="E430" s="5" t="s">
        <v>982</v>
      </c>
      <c r="F430" s="5" t="s">
        <v>2267</v>
      </c>
      <c r="G430" s="5">
        <v>1</v>
      </c>
      <c r="H430" s="5">
        <v>0.1</v>
      </c>
      <c r="I430" s="5" t="s">
        <v>998</v>
      </c>
      <c r="J430" s="5" t="s">
        <v>11</v>
      </c>
      <c r="K430" s="5" t="s">
        <v>998</v>
      </c>
      <c r="L430" s="5" t="s">
        <v>998</v>
      </c>
      <c r="M430" s="5" t="s">
        <v>998</v>
      </c>
      <c r="N430" s="5" t="s">
        <v>998</v>
      </c>
    </row>
    <row r="431" spans="1:14" x14ac:dyDescent="0.55000000000000004">
      <c r="B431" s="10">
        <v>25</v>
      </c>
      <c r="C431" s="5" t="s">
        <v>1031</v>
      </c>
      <c r="D431" s="5" t="s">
        <v>2413</v>
      </c>
      <c r="E431" s="5" t="s">
        <v>982</v>
      </c>
      <c r="F431" s="5" t="s">
        <v>2267</v>
      </c>
      <c r="G431" s="5">
        <v>1</v>
      </c>
      <c r="H431" s="5">
        <v>0.1</v>
      </c>
      <c r="I431" s="5" t="s">
        <v>998</v>
      </c>
      <c r="J431" s="5" t="s">
        <v>11</v>
      </c>
      <c r="K431" s="5" t="s">
        <v>998</v>
      </c>
      <c r="L431" s="5" t="s">
        <v>998</v>
      </c>
      <c r="M431" s="5" t="s">
        <v>998</v>
      </c>
      <c r="N431" s="5" t="s">
        <v>998</v>
      </c>
    </row>
    <row r="432" spans="1:14" x14ac:dyDescent="0.55000000000000004">
      <c r="B432" s="9">
        <v>26</v>
      </c>
      <c r="C432" s="5" t="s">
        <v>1032</v>
      </c>
      <c r="D432" s="5" t="s">
        <v>2414</v>
      </c>
      <c r="E432" s="5" t="s">
        <v>982</v>
      </c>
      <c r="F432" s="5" t="s">
        <v>2267</v>
      </c>
      <c r="G432" s="5">
        <v>1</v>
      </c>
      <c r="H432" s="5">
        <v>0.1</v>
      </c>
      <c r="I432" s="5" t="s">
        <v>998</v>
      </c>
      <c r="J432" s="5" t="s">
        <v>11</v>
      </c>
      <c r="K432" s="5" t="s">
        <v>998</v>
      </c>
      <c r="L432" s="5" t="s">
        <v>998</v>
      </c>
      <c r="M432" s="5" t="s">
        <v>998</v>
      </c>
      <c r="N432" s="5" t="s">
        <v>998</v>
      </c>
    </row>
    <row r="433" spans="2:14" x14ac:dyDescent="0.55000000000000004">
      <c r="B433" s="10">
        <v>27</v>
      </c>
      <c r="C433" s="5" t="s">
        <v>1033</v>
      </c>
      <c r="D433" s="5" t="s">
        <v>2415</v>
      </c>
      <c r="E433" s="5" t="s">
        <v>982</v>
      </c>
      <c r="F433" s="5" t="s">
        <v>2267</v>
      </c>
      <c r="G433" s="5">
        <v>1</v>
      </c>
      <c r="H433" s="5">
        <v>0.1</v>
      </c>
      <c r="I433" s="5" t="s">
        <v>998</v>
      </c>
      <c r="J433" s="5" t="s">
        <v>11</v>
      </c>
      <c r="K433" s="5" t="s">
        <v>998</v>
      </c>
      <c r="L433" s="5" t="s">
        <v>998</v>
      </c>
      <c r="M433" s="5" t="s">
        <v>998</v>
      </c>
      <c r="N433" s="5" t="s">
        <v>998</v>
      </c>
    </row>
    <row r="434" spans="2:14" x14ac:dyDescent="0.55000000000000004">
      <c r="B434" s="9">
        <v>28</v>
      </c>
      <c r="C434" s="5" t="s">
        <v>2277</v>
      </c>
      <c r="D434" s="5" t="s">
        <v>2416</v>
      </c>
      <c r="E434" s="5" t="s">
        <v>982</v>
      </c>
      <c r="F434" s="5" t="s">
        <v>2267</v>
      </c>
      <c r="G434" s="5">
        <v>1</v>
      </c>
      <c r="H434" s="5">
        <v>0</v>
      </c>
      <c r="I434" s="5" t="s">
        <v>998</v>
      </c>
      <c r="J434" s="5" t="s">
        <v>11</v>
      </c>
      <c r="K434" s="5" t="s">
        <v>998</v>
      </c>
      <c r="L434" s="5" t="s">
        <v>998</v>
      </c>
      <c r="M434" s="5" t="s">
        <v>998</v>
      </c>
      <c r="N434" s="5" t="s">
        <v>998</v>
      </c>
    </row>
    <row r="435" spans="2:14" x14ac:dyDescent="0.55000000000000004">
      <c r="B435" s="10">
        <v>29</v>
      </c>
      <c r="C435" s="5" t="s">
        <v>2278</v>
      </c>
      <c r="D435" s="5" t="s">
        <v>2417</v>
      </c>
      <c r="E435" s="5" t="s">
        <v>982</v>
      </c>
      <c r="F435" s="5" t="s">
        <v>2267</v>
      </c>
      <c r="G435" s="5">
        <v>1</v>
      </c>
      <c r="H435" s="5">
        <v>0</v>
      </c>
      <c r="I435" s="5" t="s">
        <v>998</v>
      </c>
      <c r="J435" s="5" t="s">
        <v>11</v>
      </c>
      <c r="K435" s="5" t="s">
        <v>998</v>
      </c>
      <c r="L435" s="5" t="s">
        <v>998</v>
      </c>
      <c r="M435" s="5" t="s">
        <v>998</v>
      </c>
      <c r="N435" s="5" t="s">
        <v>998</v>
      </c>
    </row>
    <row r="436" spans="2:14" x14ac:dyDescent="0.55000000000000004">
      <c r="B436" s="9">
        <v>30</v>
      </c>
      <c r="C436" s="5" t="s">
        <v>2279</v>
      </c>
      <c r="D436" s="5" t="s">
        <v>2418</v>
      </c>
      <c r="E436" s="5" t="s">
        <v>982</v>
      </c>
      <c r="F436" s="5" t="s">
        <v>2267</v>
      </c>
      <c r="G436" s="5">
        <v>1</v>
      </c>
      <c r="H436" s="5">
        <v>0</v>
      </c>
      <c r="I436" s="5" t="s">
        <v>998</v>
      </c>
      <c r="J436" s="5" t="s">
        <v>11</v>
      </c>
      <c r="K436" s="5" t="s">
        <v>998</v>
      </c>
      <c r="L436" s="5" t="s">
        <v>998</v>
      </c>
      <c r="M436" s="5" t="s">
        <v>998</v>
      </c>
      <c r="N436" s="5" t="s">
        <v>998</v>
      </c>
    </row>
    <row r="437" spans="2:14" x14ac:dyDescent="0.55000000000000004">
      <c r="B437" s="10">
        <v>31</v>
      </c>
      <c r="C437" s="5" t="s">
        <v>2280</v>
      </c>
      <c r="D437" s="5" t="s">
        <v>2419</v>
      </c>
      <c r="E437" s="5" t="s">
        <v>982</v>
      </c>
      <c r="F437" s="5" t="s">
        <v>2267</v>
      </c>
      <c r="G437" s="5">
        <v>1</v>
      </c>
      <c r="H437" s="5">
        <v>0</v>
      </c>
      <c r="I437" s="5" t="s">
        <v>998</v>
      </c>
      <c r="J437" s="5" t="s">
        <v>11</v>
      </c>
      <c r="K437" s="5" t="s">
        <v>998</v>
      </c>
      <c r="L437" s="5" t="s">
        <v>998</v>
      </c>
      <c r="M437" s="5" t="s">
        <v>998</v>
      </c>
      <c r="N437" s="5" t="s">
        <v>998</v>
      </c>
    </row>
    <row r="438" spans="2:14" x14ac:dyDescent="0.55000000000000004">
      <c r="B438" s="9">
        <v>32</v>
      </c>
      <c r="C438" s="5" t="s">
        <v>2281</v>
      </c>
      <c r="D438" s="5" t="s">
        <v>2420</v>
      </c>
      <c r="E438" s="5" t="s">
        <v>982</v>
      </c>
      <c r="F438" s="5" t="s">
        <v>2267</v>
      </c>
      <c r="G438" s="5">
        <v>1</v>
      </c>
      <c r="H438" s="5">
        <v>0</v>
      </c>
      <c r="I438" s="5" t="s">
        <v>998</v>
      </c>
      <c r="J438" s="5" t="s">
        <v>11</v>
      </c>
      <c r="K438" s="5" t="s">
        <v>998</v>
      </c>
      <c r="L438" s="5" t="s">
        <v>998</v>
      </c>
      <c r="M438" s="5" t="s">
        <v>998</v>
      </c>
      <c r="N438" s="5" t="s">
        <v>998</v>
      </c>
    </row>
    <row r="439" spans="2:14" x14ac:dyDescent="0.55000000000000004">
      <c r="B439" s="10">
        <v>33</v>
      </c>
      <c r="C439" s="5" t="s">
        <v>2282</v>
      </c>
      <c r="D439" s="5" t="s">
        <v>2421</v>
      </c>
      <c r="E439" s="5" t="s">
        <v>982</v>
      </c>
      <c r="F439" s="5" t="s">
        <v>2267</v>
      </c>
      <c r="G439" s="5">
        <v>1</v>
      </c>
      <c r="H439" s="5">
        <v>0</v>
      </c>
      <c r="I439" s="5" t="s">
        <v>998</v>
      </c>
      <c r="J439" s="5" t="s">
        <v>11</v>
      </c>
      <c r="K439" s="5" t="s">
        <v>998</v>
      </c>
      <c r="L439" s="5" t="s">
        <v>998</v>
      </c>
      <c r="M439" s="5" t="s">
        <v>998</v>
      </c>
      <c r="N439" s="5" t="s">
        <v>998</v>
      </c>
    </row>
    <row r="440" spans="2:14" x14ac:dyDescent="0.55000000000000004">
      <c r="B440" s="9">
        <v>34</v>
      </c>
      <c r="C440" s="5" t="s">
        <v>2283</v>
      </c>
      <c r="D440" s="5" t="s">
        <v>2422</v>
      </c>
      <c r="E440" s="5" t="s">
        <v>982</v>
      </c>
      <c r="F440" s="5" t="s">
        <v>2267</v>
      </c>
      <c r="G440" s="5">
        <v>1</v>
      </c>
      <c r="H440" s="5">
        <v>0</v>
      </c>
      <c r="I440" s="5" t="s">
        <v>998</v>
      </c>
      <c r="J440" s="5" t="s">
        <v>11</v>
      </c>
      <c r="K440" s="5" t="s">
        <v>998</v>
      </c>
      <c r="L440" s="5" t="s">
        <v>998</v>
      </c>
      <c r="M440" s="5" t="s">
        <v>998</v>
      </c>
      <c r="N440" s="5" t="s">
        <v>998</v>
      </c>
    </row>
    <row r="441" spans="2:14" x14ac:dyDescent="0.55000000000000004">
      <c r="B441" s="10">
        <v>35</v>
      </c>
      <c r="C441" s="5" t="s">
        <v>2284</v>
      </c>
      <c r="D441" s="5" t="s">
        <v>2423</v>
      </c>
      <c r="E441" s="5" t="s">
        <v>982</v>
      </c>
      <c r="F441" s="5" t="s">
        <v>2267</v>
      </c>
      <c r="G441" s="5">
        <v>1</v>
      </c>
      <c r="H441" s="5">
        <v>0</v>
      </c>
      <c r="I441" s="5" t="s">
        <v>998</v>
      </c>
      <c r="J441" s="5" t="s">
        <v>11</v>
      </c>
      <c r="K441" s="5" t="s">
        <v>998</v>
      </c>
      <c r="L441" s="5" t="s">
        <v>998</v>
      </c>
      <c r="M441" s="5" t="s">
        <v>998</v>
      </c>
      <c r="N441" s="5" t="s">
        <v>998</v>
      </c>
    </row>
    <row r="442" spans="2:14" x14ac:dyDescent="0.55000000000000004">
      <c r="B442" s="9">
        <v>36</v>
      </c>
      <c r="C442" s="5" t="s">
        <v>2285</v>
      </c>
      <c r="D442" s="5" t="s">
        <v>2424</v>
      </c>
      <c r="E442" s="5" t="s">
        <v>982</v>
      </c>
      <c r="F442" s="5" t="s">
        <v>2267</v>
      </c>
      <c r="G442" s="5">
        <v>1</v>
      </c>
      <c r="H442" s="5">
        <v>0</v>
      </c>
      <c r="I442" s="5" t="s">
        <v>998</v>
      </c>
      <c r="J442" s="5" t="s">
        <v>11</v>
      </c>
      <c r="K442" s="5" t="s">
        <v>998</v>
      </c>
      <c r="L442" s="5" t="s">
        <v>998</v>
      </c>
      <c r="M442" s="5" t="s">
        <v>998</v>
      </c>
      <c r="N442" s="5" t="s">
        <v>998</v>
      </c>
    </row>
    <row r="443" spans="2:14" x14ac:dyDescent="0.55000000000000004">
      <c r="B443" s="10">
        <v>37</v>
      </c>
      <c r="C443" s="5" t="s">
        <v>2286</v>
      </c>
      <c r="D443" s="5" t="s">
        <v>2425</v>
      </c>
      <c r="E443" s="5" t="s">
        <v>982</v>
      </c>
      <c r="F443" s="5" t="s">
        <v>2267</v>
      </c>
      <c r="G443" s="5">
        <v>1</v>
      </c>
      <c r="H443" s="5">
        <v>0</v>
      </c>
      <c r="I443" s="5" t="s">
        <v>998</v>
      </c>
      <c r="J443" s="5" t="s">
        <v>11</v>
      </c>
      <c r="K443" s="5" t="s">
        <v>998</v>
      </c>
      <c r="L443" s="5" t="s">
        <v>998</v>
      </c>
      <c r="M443" s="5" t="s">
        <v>998</v>
      </c>
      <c r="N443" s="5" t="s">
        <v>998</v>
      </c>
    </row>
    <row r="444" spans="2:14" x14ac:dyDescent="0.55000000000000004">
      <c r="B444" s="9">
        <v>38</v>
      </c>
      <c r="C444" s="5" t="s">
        <v>2287</v>
      </c>
      <c r="D444" s="5" t="s">
        <v>2426</v>
      </c>
      <c r="E444" s="5" t="s">
        <v>982</v>
      </c>
      <c r="F444" s="5" t="s">
        <v>2267</v>
      </c>
      <c r="G444" s="5">
        <v>1</v>
      </c>
      <c r="H444" s="5">
        <v>0</v>
      </c>
      <c r="I444" s="5" t="s">
        <v>998</v>
      </c>
      <c r="J444" s="5" t="s">
        <v>11</v>
      </c>
      <c r="K444" s="5" t="s">
        <v>998</v>
      </c>
      <c r="L444" s="5" t="s">
        <v>998</v>
      </c>
      <c r="M444" s="5" t="s">
        <v>998</v>
      </c>
      <c r="N444" s="5" t="s">
        <v>998</v>
      </c>
    </row>
    <row r="445" spans="2:14" x14ac:dyDescent="0.55000000000000004">
      <c r="B445" s="10">
        <v>39</v>
      </c>
      <c r="C445" s="5" t="s">
        <v>2288</v>
      </c>
      <c r="D445" s="5" t="s">
        <v>2427</v>
      </c>
      <c r="E445" s="5" t="s">
        <v>982</v>
      </c>
      <c r="F445" s="5" t="s">
        <v>2267</v>
      </c>
      <c r="G445" s="5">
        <v>1</v>
      </c>
      <c r="H445" s="5">
        <v>0</v>
      </c>
      <c r="I445" s="5" t="s">
        <v>998</v>
      </c>
      <c r="J445" s="5" t="s">
        <v>11</v>
      </c>
      <c r="K445" s="5" t="s">
        <v>998</v>
      </c>
      <c r="L445" s="5" t="s">
        <v>998</v>
      </c>
      <c r="M445" s="5" t="s">
        <v>998</v>
      </c>
      <c r="N445" s="5" t="s">
        <v>998</v>
      </c>
    </row>
    <row r="446" spans="2:14" x14ac:dyDescent="0.55000000000000004">
      <c r="B446" s="9">
        <v>40</v>
      </c>
      <c r="C446" s="5" t="s">
        <v>2289</v>
      </c>
      <c r="D446" s="5" t="s">
        <v>2428</v>
      </c>
      <c r="E446" s="5" t="s">
        <v>982</v>
      </c>
      <c r="F446" s="5" t="s">
        <v>2267</v>
      </c>
      <c r="G446" s="5">
        <v>1</v>
      </c>
      <c r="H446" s="5">
        <v>0</v>
      </c>
      <c r="I446" s="5" t="s">
        <v>998</v>
      </c>
      <c r="J446" s="5" t="s">
        <v>11</v>
      </c>
      <c r="K446" s="5" t="s">
        <v>998</v>
      </c>
      <c r="L446" s="5" t="s">
        <v>998</v>
      </c>
      <c r="M446" s="5" t="s">
        <v>998</v>
      </c>
      <c r="N446" s="5" t="s">
        <v>998</v>
      </c>
    </row>
    <row r="447" spans="2:14" x14ac:dyDescent="0.55000000000000004">
      <c r="B447" s="10">
        <v>41</v>
      </c>
      <c r="C447" s="5" t="s">
        <v>2290</v>
      </c>
      <c r="D447" s="5" t="s">
        <v>2429</v>
      </c>
      <c r="E447" s="5" t="s">
        <v>982</v>
      </c>
      <c r="F447" s="5" t="s">
        <v>2267</v>
      </c>
      <c r="G447" s="5">
        <v>1</v>
      </c>
      <c r="H447" s="5">
        <v>0</v>
      </c>
      <c r="I447" s="5" t="s">
        <v>998</v>
      </c>
      <c r="J447" s="5" t="s">
        <v>11</v>
      </c>
      <c r="K447" s="5" t="s">
        <v>998</v>
      </c>
      <c r="L447" s="5" t="s">
        <v>998</v>
      </c>
      <c r="M447" s="5" t="s">
        <v>998</v>
      </c>
      <c r="N447" s="5" t="s">
        <v>998</v>
      </c>
    </row>
    <row r="448" spans="2:14" x14ac:dyDescent="0.55000000000000004">
      <c r="B448" s="9">
        <v>42</v>
      </c>
      <c r="C448" s="5" t="s">
        <v>2291</v>
      </c>
      <c r="D448" s="5" t="s">
        <v>2430</v>
      </c>
      <c r="E448" s="5" t="s">
        <v>982</v>
      </c>
      <c r="F448" s="5" t="s">
        <v>2267</v>
      </c>
      <c r="G448" s="5">
        <v>1</v>
      </c>
      <c r="H448" s="5">
        <v>0</v>
      </c>
      <c r="I448" s="5" t="s">
        <v>998</v>
      </c>
      <c r="J448" s="5" t="s">
        <v>11</v>
      </c>
      <c r="K448" s="5" t="s">
        <v>998</v>
      </c>
      <c r="L448" s="5" t="s">
        <v>998</v>
      </c>
      <c r="M448" s="5" t="s">
        <v>998</v>
      </c>
      <c r="N448" s="5" t="s">
        <v>998</v>
      </c>
    </row>
    <row r="449" spans="2:14" x14ac:dyDescent="0.55000000000000004">
      <c r="B449" s="10">
        <v>43</v>
      </c>
      <c r="C449" s="5" t="s">
        <v>2292</v>
      </c>
      <c r="D449" s="5" t="s">
        <v>2431</v>
      </c>
      <c r="E449" s="5" t="s">
        <v>982</v>
      </c>
      <c r="F449" s="5" t="s">
        <v>2267</v>
      </c>
      <c r="G449" s="5">
        <v>1</v>
      </c>
      <c r="H449" s="5">
        <v>0</v>
      </c>
      <c r="I449" s="5" t="s">
        <v>998</v>
      </c>
      <c r="J449" s="5" t="s">
        <v>11</v>
      </c>
      <c r="K449" s="5" t="s">
        <v>998</v>
      </c>
      <c r="L449" s="5" t="s">
        <v>998</v>
      </c>
      <c r="M449" s="5" t="s">
        <v>998</v>
      </c>
      <c r="N449" s="5" t="s">
        <v>998</v>
      </c>
    </row>
    <row r="450" spans="2:14" x14ac:dyDescent="0.55000000000000004">
      <c r="B450" s="9">
        <v>44</v>
      </c>
      <c r="C450" s="5" t="s">
        <v>2293</v>
      </c>
      <c r="D450" s="5" t="s">
        <v>2432</v>
      </c>
      <c r="E450" s="5" t="s">
        <v>982</v>
      </c>
      <c r="F450" s="5" t="s">
        <v>2267</v>
      </c>
      <c r="G450" s="5">
        <v>1</v>
      </c>
      <c r="H450" s="5">
        <v>0</v>
      </c>
      <c r="I450" s="5" t="s">
        <v>998</v>
      </c>
      <c r="J450" s="5" t="s">
        <v>11</v>
      </c>
      <c r="K450" s="5" t="s">
        <v>998</v>
      </c>
      <c r="L450" s="5" t="s">
        <v>998</v>
      </c>
      <c r="M450" s="5" t="s">
        <v>998</v>
      </c>
      <c r="N450" s="5" t="s">
        <v>998</v>
      </c>
    </row>
    <row r="451" spans="2:14" x14ac:dyDescent="0.55000000000000004">
      <c r="B451" s="10">
        <v>45</v>
      </c>
      <c r="C451" s="5" t="s">
        <v>2294</v>
      </c>
      <c r="D451" s="5" t="s">
        <v>2433</v>
      </c>
      <c r="E451" s="5" t="s">
        <v>982</v>
      </c>
      <c r="F451" s="5" t="s">
        <v>2267</v>
      </c>
      <c r="G451" s="5">
        <v>1</v>
      </c>
      <c r="H451" s="5">
        <v>0</v>
      </c>
      <c r="I451" s="5" t="s">
        <v>998</v>
      </c>
      <c r="J451" s="5" t="s">
        <v>11</v>
      </c>
      <c r="K451" s="5" t="s">
        <v>998</v>
      </c>
      <c r="L451" s="5" t="s">
        <v>998</v>
      </c>
      <c r="M451" s="5" t="s">
        <v>998</v>
      </c>
      <c r="N451" s="5" t="s">
        <v>998</v>
      </c>
    </row>
    <row r="452" spans="2:14" x14ac:dyDescent="0.55000000000000004">
      <c r="B452" s="9">
        <v>46</v>
      </c>
      <c r="C452" s="5" t="s">
        <v>2295</v>
      </c>
      <c r="D452" s="5" t="s">
        <v>2434</v>
      </c>
      <c r="E452" s="5" t="s">
        <v>982</v>
      </c>
      <c r="F452" s="5" t="s">
        <v>2267</v>
      </c>
      <c r="G452" s="5">
        <v>1</v>
      </c>
      <c r="H452" s="5">
        <v>0</v>
      </c>
      <c r="I452" s="5" t="s">
        <v>998</v>
      </c>
      <c r="J452" s="5" t="s">
        <v>11</v>
      </c>
      <c r="K452" s="5" t="s">
        <v>998</v>
      </c>
      <c r="L452" s="5" t="s">
        <v>998</v>
      </c>
      <c r="M452" s="5" t="s">
        <v>998</v>
      </c>
      <c r="N452" s="5" t="s">
        <v>998</v>
      </c>
    </row>
    <row r="453" spans="2:14" x14ac:dyDescent="0.55000000000000004">
      <c r="B453" s="10">
        <v>47</v>
      </c>
      <c r="C453" s="5" t="s">
        <v>2296</v>
      </c>
      <c r="D453" s="5" t="s">
        <v>2435</v>
      </c>
      <c r="E453" s="5" t="s">
        <v>982</v>
      </c>
      <c r="F453" s="5" t="s">
        <v>2267</v>
      </c>
      <c r="G453" s="5">
        <v>1</v>
      </c>
      <c r="H453" s="5">
        <v>0</v>
      </c>
      <c r="I453" s="5" t="s">
        <v>998</v>
      </c>
      <c r="J453" s="5" t="s">
        <v>11</v>
      </c>
      <c r="K453" s="5" t="s">
        <v>998</v>
      </c>
      <c r="L453" s="5" t="s">
        <v>998</v>
      </c>
      <c r="M453" s="5" t="s">
        <v>998</v>
      </c>
      <c r="N453" s="5" t="s">
        <v>998</v>
      </c>
    </row>
    <row r="454" spans="2:14" x14ac:dyDescent="0.55000000000000004">
      <c r="B454" s="9">
        <v>48</v>
      </c>
      <c r="C454" s="5" t="s">
        <v>2297</v>
      </c>
      <c r="D454" s="5" t="s">
        <v>2436</v>
      </c>
      <c r="E454" s="5" t="s">
        <v>982</v>
      </c>
      <c r="F454" s="5" t="s">
        <v>2267</v>
      </c>
      <c r="G454" s="5">
        <v>1</v>
      </c>
      <c r="H454" s="5">
        <v>0</v>
      </c>
      <c r="I454" s="5" t="s">
        <v>998</v>
      </c>
      <c r="J454" s="5" t="s">
        <v>11</v>
      </c>
      <c r="K454" s="5" t="s">
        <v>998</v>
      </c>
      <c r="L454" s="5" t="s">
        <v>998</v>
      </c>
      <c r="M454" s="5" t="s">
        <v>998</v>
      </c>
      <c r="N454" s="5" t="s">
        <v>998</v>
      </c>
    </row>
    <row r="455" spans="2:14" x14ac:dyDescent="0.55000000000000004">
      <c r="B455" s="10">
        <v>49</v>
      </c>
      <c r="C455" s="5" t="s">
        <v>2298</v>
      </c>
      <c r="D455" s="5" t="s">
        <v>2437</v>
      </c>
      <c r="E455" s="5" t="s">
        <v>982</v>
      </c>
      <c r="F455" s="5" t="s">
        <v>2267</v>
      </c>
      <c r="G455" s="5">
        <v>1</v>
      </c>
      <c r="H455" s="5">
        <v>0</v>
      </c>
      <c r="I455" s="5" t="s">
        <v>998</v>
      </c>
      <c r="J455" s="5" t="s">
        <v>11</v>
      </c>
      <c r="K455" s="5" t="s">
        <v>998</v>
      </c>
      <c r="L455" s="5" t="s">
        <v>998</v>
      </c>
      <c r="M455" s="5" t="s">
        <v>998</v>
      </c>
      <c r="N455" s="5" t="s">
        <v>998</v>
      </c>
    </row>
    <row r="456" spans="2:14" x14ac:dyDescent="0.55000000000000004">
      <c r="B456" s="9">
        <v>50</v>
      </c>
      <c r="C456" s="5" t="s">
        <v>2299</v>
      </c>
      <c r="D456" s="5" t="s">
        <v>2438</v>
      </c>
      <c r="E456" s="5" t="s">
        <v>982</v>
      </c>
      <c r="F456" s="5" t="s">
        <v>2267</v>
      </c>
      <c r="G456" s="5">
        <v>1</v>
      </c>
      <c r="H456" s="5">
        <v>0</v>
      </c>
      <c r="I456" s="5" t="s">
        <v>998</v>
      </c>
      <c r="J456" s="5" t="s">
        <v>11</v>
      </c>
      <c r="K456" s="5" t="s">
        <v>998</v>
      </c>
      <c r="L456" s="5" t="s">
        <v>998</v>
      </c>
      <c r="M456" s="5" t="s">
        <v>998</v>
      </c>
      <c r="N456" s="5" t="s">
        <v>998</v>
      </c>
    </row>
    <row r="457" spans="2:14" x14ac:dyDescent="0.55000000000000004">
      <c r="B457" s="10">
        <v>51</v>
      </c>
      <c r="C457" s="5" t="s">
        <v>2300</v>
      </c>
      <c r="D457" s="5" t="s">
        <v>2439</v>
      </c>
      <c r="E457" s="5" t="s">
        <v>982</v>
      </c>
      <c r="F457" s="5" t="s">
        <v>2267</v>
      </c>
      <c r="G457" s="5">
        <v>1</v>
      </c>
      <c r="H457" s="5">
        <v>0</v>
      </c>
      <c r="I457" s="5" t="s">
        <v>998</v>
      </c>
      <c r="J457" s="5" t="s">
        <v>11</v>
      </c>
      <c r="K457" s="5" t="s">
        <v>998</v>
      </c>
      <c r="L457" s="5" t="s">
        <v>998</v>
      </c>
      <c r="M457" s="5" t="s">
        <v>998</v>
      </c>
      <c r="N457" s="5" t="s">
        <v>998</v>
      </c>
    </row>
    <row r="458" spans="2:14" x14ac:dyDescent="0.55000000000000004">
      <c r="B458" s="9">
        <v>52</v>
      </c>
      <c r="C458" s="5" t="s">
        <v>2301</v>
      </c>
      <c r="D458" s="5" t="s">
        <v>2440</v>
      </c>
      <c r="E458" s="5" t="s">
        <v>982</v>
      </c>
      <c r="F458" s="5" t="s">
        <v>2267</v>
      </c>
      <c r="G458" s="5">
        <v>1</v>
      </c>
      <c r="H458" s="5">
        <v>0</v>
      </c>
      <c r="I458" s="5" t="s">
        <v>998</v>
      </c>
      <c r="J458" s="5" t="s">
        <v>11</v>
      </c>
      <c r="K458" s="5" t="s">
        <v>998</v>
      </c>
      <c r="L458" s="5" t="s">
        <v>998</v>
      </c>
      <c r="M458" s="5" t="s">
        <v>998</v>
      </c>
      <c r="N458" s="5" t="s">
        <v>998</v>
      </c>
    </row>
    <row r="459" spans="2:14" x14ac:dyDescent="0.55000000000000004">
      <c r="B459" s="10">
        <v>53</v>
      </c>
      <c r="C459" s="5" t="s">
        <v>2302</v>
      </c>
      <c r="D459" s="5" t="s">
        <v>2441</v>
      </c>
      <c r="E459" s="5" t="s">
        <v>982</v>
      </c>
      <c r="F459" s="5" t="s">
        <v>2267</v>
      </c>
      <c r="G459" s="5">
        <v>1</v>
      </c>
      <c r="H459" s="5">
        <v>0</v>
      </c>
      <c r="I459" s="5" t="s">
        <v>998</v>
      </c>
      <c r="J459" s="5" t="s">
        <v>11</v>
      </c>
      <c r="K459" s="5" t="s">
        <v>998</v>
      </c>
      <c r="L459" s="5" t="s">
        <v>998</v>
      </c>
      <c r="M459" s="5" t="s">
        <v>998</v>
      </c>
      <c r="N459" s="5" t="s">
        <v>998</v>
      </c>
    </row>
    <row r="460" spans="2:14" x14ac:dyDescent="0.55000000000000004">
      <c r="B460" s="9">
        <v>54</v>
      </c>
      <c r="C460" s="5" t="s">
        <v>2303</v>
      </c>
      <c r="D460" s="5" t="s">
        <v>2442</v>
      </c>
      <c r="E460" s="5" t="s">
        <v>982</v>
      </c>
      <c r="F460" s="5" t="s">
        <v>2267</v>
      </c>
      <c r="G460" s="5">
        <v>1</v>
      </c>
      <c r="H460" s="5">
        <v>0</v>
      </c>
      <c r="I460" s="5" t="s">
        <v>998</v>
      </c>
      <c r="J460" s="5" t="s">
        <v>11</v>
      </c>
      <c r="K460" s="5" t="s">
        <v>998</v>
      </c>
      <c r="L460" s="5" t="s">
        <v>998</v>
      </c>
      <c r="M460" s="5" t="s">
        <v>998</v>
      </c>
      <c r="N460" s="5" t="s">
        <v>998</v>
      </c>
    </row>
    <row r="461" spans="2:14" x14ac:dyDescent="0.55000000000000004">
      <c r="B461" s="10">
        <v>55</v>
      </c>
      <c r="C461" s="5" t="s">
        <v>2304</v>
      </c>
      <c r="D461" s="5" t="s">
        <v>2443</v>
      </c>
      <c r="E461" s="5" t="s">
        <v>982</v>
      </c>
      <c r="F461" s="5" t="s">
        <v>2267</v>
      </c>
      <c r="G461" s="5">
        <v>1</v>
      </c>
      <c r="H461" s="5">
        <v>0</v>
      </c>
      <c r="I461" s="5" t="s">
        <v>998</v>
      </c>
      <c r="J461" s="5" t="s">
        <v>11</v>
      </c>
      <c r="K461" s="5" t="s">
        <v>998</v>
      </c>
      <c r="L461" s="5" t="s">
        <v>998</v>
      </c>
      <c r="M461" s="5" t="s">
        <v>998</v>
      </c>
      <c r="N461" s="5" t="s">
        <v>998</v>
      </c>
    </row>
    <row r="462" spans="2:14" x14ac:dyDescent="0.55000000000000004">
      <c r="B462" s="9">
        <v>56</v>
      </c>
      <c r="C462" s="5" t="s">
        <v>2305</v>
      </c>
      <c r="D462" s="5" t="s">
        <v>2444</v>
      </c>
      <c r="E462" s="5" t="s">
        <v>982</v>
      </c>
      <c r="F462" s="5" t="s">
        <v>2267</v>
      </c>
      <c r="G462" s="5">
        <v>1</v>
      </c>
      <c r="H462" s="5">
        <v>0</v>
      </c>
      <c r="I462" s="5" t="s">
        <v>998</v>
      </c>
      <c r="J462" s="5" t="s">
        <v>11</v>
      </c>
      <c r="K462" s="5" t="s">
        <v>998</v>
      </c>
      <c r="L462" s="5" t="s">
        <v>998</v>
      </c>
      <c r="M462" s="5" t="s">
        <v>998</v>
      </c>
      <c r="N462" s="5" t="s">
        <v>998</v>
      </c>
    </row>
    <row r="463" spans="2:14" x14ac:dyDescent="0.55000000000000004">
      <c r="B463" s="10">
        <v>57</v>
      </c>
      <c r="C463" s="5" t="s">
        <v>2306</v>
      </c>
      <c r="D463" s="5" t="s">
        <v>2445</v>
      </c>
      <c r="E463" s="5" t="s">
        <v>982</v>
      </c>
      <c r="F463" s="5" t="s">
        <v>2267</v>
      </c>
      <c r="G463" s="5">
        <v>1</v>
      </c>
      <c r="H463" s="5">
        <v>0</v>
      </c>
      <c r="I463" s="5" t="s">
        <v>998</v>
      </c>
      <c r="J463" s="5" t="s">
        <v>11</v>
      </c>
      <c r="K463" s="5" t="s">
        <v>998</v>
      </c>
      <c r="L463" s="5" t="s">
        <v>998</v>
      </c>
      <c r="M463" s="5" t="s">
        <v>998</v>
      </c>
      <c r="N463" s="5" t="s">
        <v>998</v>
      </c>
    </row>
    <row r="464" spans="2:14" x14ac:dyDescent="0.55000000000000004">
      <c r="B464" s="9">
        <v>58</v>
      </c>
      <c r="C464" s="5" t="s">
        <v>1034</v>
      </c>
      <c r="D464" s="5" t="s">
        <v>2446</v>
      </c>
      <c r="E464" s="5" t="s">
        <v>982</v>
      </c>
      <c r="F464" s="5" t="s">
        <v>2267</v>
      </c>
      <c r="G464" s="5">
        <v>1</v>
      </c>
      <c r="H464" s="5">
        <v>0.1</v>
      </c>
      <c r="I464" s="5" t="s">
        <v>998</v>
      </c>
      <c r="J464" s="5" t="s">
        <v>11</v>
      </c>
      <c r="K464" s="5" t="s">
        <v>998</v>
      </c>
      <c r="L464" s="5" t="s">
        <v>998</v>
      </c>
      <c r="M464" s="5" t="s">
        <v>998</v>
      </c>
      <c r="N464" s="5" t="s">
        <v>998</v>
      </c>
    </row>
    <row r="465" spans="1:14" x14ac:dyDescent="0.55000000000000004">
      <c r="B465" s="10">
        <v>59</v>
      </c>
      <c r="C465" s="5" t="s">
        <v>2307</v>
      </c>
      <c r="D465" s="5" t="s">
        <v>2447</v>
      </c>
      <c r="E465" s="5" t="s">
        <v>982</v>
      </c>
      <c r="F465" s="5" t="s">
        <v>2267</v>
      </c>
      <c r="G465" s="5">
        <v>1</v>
      </c>
      <c r="H465" s="5">
        <v>0.1</v>
      </c>
      <c r="I465" s="5" t="s">
        <v>998</v>
      </c>
      <c r="J465" s="5" t="s">
        <v>11</v>
      </c>
      <c r="K465" s="5" t="s">
        <v>998</v>
      </c>
      <c r="L465" s="5" t="s">
        <v>998</v>
      </c>
      <c r="M465" s="5" t="s">
        <v>998</v>
      </c>
      <c r="N465" s="5" t="s">
        <v>998</v>
      </c>
    </row>
    <row r="466" spans="1:14" x14ac:dyDescent="0.55000000000000004">
      <c r="B466" s="9">
        <v>60</v>
      </c>
      <c r="C466" s="5" t="s">
        <v>2308</v>
      </c>
      <c r="D466" s="5" t="s">
        <v>2448</v>
      </c>
      <c r="E466" s="5" t="s">
        <v>982</v>
      </c>
      <c r="F466" s="5" t="s">
        <v>2267</v>
      </c>
      <c r="G466" s="5">
        <v>1</v>
      </c>
      <c r="H466" s="5">
        <v>0.1</v>
      </c>
      <c r="I466" s="5" t="s">
        <v>998</v>
      </c>
      <c r="J466" s="5" t="s">
        <v>11</v>
      </c>
      <c r="K466" s="5" t="s">
        <v>998</v>
      </c>
      <c r="L466" s="5" t="s">
        <v>998</v>
      </c>
      <c r="M466" s="5" t="s">
        <v>998</v>
      </c>
      <c r="N466" s="5" t="s">
        <v>998</v>
      </c>
    </row>
    <row r="467" spans="1:14" x14ac:dyDescent="0.55000000000000004">
      <c r="B467" s="10">
        <v>61</v>
      </c>
      <c r="C467" s="5" t="s">
        <v>1035</v>
      </c>
      <c r="D467" s="5" t="s">
        <v>2449</v>
      </c>
      <c r="E467" s="5" t="s">
        <v>982</v>
      </c>
      <c r="F467" s="5" t="s">
        <v>2267</v>
      </c>
      <c r="G467" s="5">
        <v>1</v>
      </c>
      <c r="H467" s="5">
        <v>12</v>
      </c>
      <c r="I467" s="5" t="s">
        <v>998</v>
      </c>
      <c r="J467" s="5" t="s">
        <v>11</v>
      </c>
      <c r="K467" s="5" t="s">
        <v>998</v>
      </c>
      <c r="L467" s="5" t="s">
        <v>998</v>
      </c>
      <c r="M467" s="5" t="s">
        <v>998</v>
      </c>
      <c r="N467" s="5" t="s">
        <v>998</v>
      </c>
    </row>
    <row r="468" spans="1:14" x14ac:dyDescent="0.55000000000000004">
      <c r="B468" s="9">
        <v>62</v>
      </c>
      <c r="C468" s="5" t="s">
        <v>1036</v>
      </c>
      <c r="D468" s="5" t="s">
        <v>2450</v>
      </c>
      <c r="E468" s="5" t="s">
        <v>982</v>
      </c>
      <c r="F468" s="5" t="s">
        <v>2267</v>
      </c>
      <c r="G468" s="5">
        <v>1</v>
      </c>
      <c r="H468" s="5">
        <v>5</v>
      </c>
      <c r="I468" s="5" t="s">
        <v>998</v>
      </c>
      <c r="J468" s="5" t="s">
        <v>11</v>
      </c>
      <c r="K468" s="5" t="s">
        <v>998</v>
      </c>
      <c r="L468" s="5" t="s">
        <v>998</v>
      </c>
      <c r="M468" s="5" t="s">
        <v>998</v>
      </c>
      <c r="N468" s="5" t="s">
        <v>998</v>
      </c>
    </row>
    <row r="469" spans="1:14" x14ac:dyDescent="0.55000000000000004">
      <c r="B469" s="10">
        <v>63</v>
      </c>
      <c r="C469" s="32" t="s">
        <v>1037</v>
      </c>
      <c r="D469" s="32" t="s">
        <v>2451</v>
      </c>
      <c r="E469" s="5" t="s">
        <v>982</v>
      </c>
      <c r="F469" s="5" t="s">
        <v>2267</v>
      </c>
      <c r="G469" s="5">
        <v>1</v>
      </c>
      <c r="H469" s="5">
        <v>19.8</v>
      </c>
      <c r="I469" s="5" t="s">
        <v>998</v>
      </c>
      <c r="J469" s="5" t="s">
        <v>11</v>
      </c>
      <c r="K469" s="5" t="s">
        <v>998</v>
      </c>
      <c r="L469" s="5" t="s">
        <v>998</v>
      </c>
      <c r="M469" s="5" t="s">
        <v>998</v>
      </c>
      <c r="N469" s="5" t="s">
        <v>998</v>
      </c>
    </row>
    <row r="470" spans="1:14" x14ac:dyDescent="0.55000000000000004">
      <c r="B470" s="9">
        <v>64</v>
      </c>
      <c r="C470" s="5" t="s">
        <v>1038</v>
      </c>
      <c r="D470" s="5" t="s">
        <v>2452</v>
      </c>
      <c r="E470" s="5" t="s">
        <v>982</v>
      </c>
      <c r="F470" s="5" t="s">
        <v>2255</v>
      </c>
      <c r="G470" s="5">
        <v>1</v>
      </c>
      <c r="H470" s="5">
        <v>0</v>
      </c>
      <c r="I470" s="5" t="s">
        <v>982</v>
      </c>
      <c r="J470" s="5" t="s">
        <v>11</v>
      </c>
      <c r="K470" s="5" t="s">
        <v>982</v>
      </c>
      <c r="L470" s="5" t="s">
        <v>982</v>
      </c>
      <c r="M470" s="5" t="s">
        <v>982</v>
      </c>
      <c r="N470" s="5" t="s">
        <v>982</v>
      </c>
    </row>
    <row r="471" spans="1:14" x14ac:dyDescent="0.55000000000000004">
      <c r="B471" s="10">
        <v>65</v>
      </c>
      <c r="C471" s="5" t="s">
        <v>2309</v>
      </c>
      <c r="D471" s="5" t="s">
        <v>2453</v>
      </c>
      <c r="E471" s="5" t="s">
        <v>982</v>
      </c>
      <c r="F471" s="5" t="s">
        <v>2310</v>
      </c>
      <c r="G471" s="5">
        <v>1</v>
      </c>
      <c r="H471" s="5">
        <v>5.0000000000000001E-4</v>
      </c>
      <c r="I471" s="5" t="s">
        <v>998</v>
      </c>
      <c r="J471" s="5" t="s">
        <v>11</v>
      </c>
      <c r="K471" s="5" t="s">
        <v>998</v>
      </c>
      <c r="L471" s="5" t="s">
        <v>998</v>
      </c>
      <c r="M471" s="5" t="s">
        <v>998</v>
      </c>
      <c r="N471" s="5" t="s">
        <v>998</v>
      </c>
    </row>
    <row r="472" spans="1:14" x14ac:dyDescent="0.55000000000000004">
      <c r="B472" s="9">
        <v>66</v>
      </c>
      <c r="C472" s="5" t="s">
        <v>2311</v>
      </c>
      <c r="D472" s="5" t="s">
        <v>2454</v>
      </c>
      <c r="E472" s="5" t="s">
        <v>982</v>
      </c>
      <c r="F472" s="5" t="s">
        <v>2310</v>
      </c>
      <c r="G472" s="5">
        <v>1</v>
      </c>
      <c r="H472" s="5">
        <v>5.0000000000000001E-4</v>
      </c>
      <c r="I472" s="5" t="s">
        <v>998</v>
      </c>
      <c r="J472" s="5" t="s">
        <v>11</v>
      </c>
      <c r="K472" s="5" t="s">
        <v>998</v>
      </c>
      <c r="L472" s="5" t="s">
        <v>998</v>
      </c>
      <c r="M472" s="5" t="s">
        <v>998</v>
      </c>
      <c r="N472" s="5" t="s">
        <v>998</v>
      </c>
    </row>
    <row r="473" spans="1:14" x14ac:dyDescent="0.55000000000000004">
      <c r="B473" s="10">
        <v>67</v>
      </c>
      <c r="C473" s="5" t="s">
        <v>2312</v>
      </c>
      <c r="D473" s="5" t="s">
        <v>2455</v>
      </c>
      <c r="E473" s="5" t="s">
        <v>982</v>
      </c>
      <c r="F473" s="5" t="s">
        <v>2310</v>
      </c>
      <c r="G473" s="5">
        <v>1</v>
      </c>
      <c r="H473" s="5">
        <v>5.0000000000000001E-4</v>
      </c>
      <c r="I473" s="5" t="s">
        <v>998</v>
      </c>
      <c r="J473" s="5" t="s">
        <v>11</v>
      </c>
      <c r="K473" s="5" t="s">
        <v>998</v>
      </c>
      <c r="L473" s="5" t="s">
        <v>998</v>
      </c>
      <c r="M473" s="5" t="s">
        <v>998</v>
      </c>
      <c r="N473" s="5" t="s">
        <v>998</v>
      </c>
    </row>
    <row r="474" spans="1:14" x14ac:dyDescent="0.55000000000000004">
      <c r="B474" s="9">
        <v>68</v>
      </c>
      <c r="C474" s="5" t="s">
        <v>2313</v>
      </c>
      <c r="D474" s="5" t="s">
        <v>2456</v>
      </c>
      <c r="E474" s="5" t="s">
        <v>982</v>
      </c>
      <c r="F474" s="5" t="s">
        <v>2310</v>
      </c>
      <c r="G474" s="5">
        <v>1</v>
      </c>
      <c r="H474" s="5">
        <v>5.0000000000000001E-4</v>
      </c>
      <c r="I474" s="5" t="s">
        <v>998</v>
      </c>
      <c r="J474" s="5" t="s">
        <v>11</v>
      </c>
      <c r="K474" s="5" t="s">
        <v>998</v>
      </c>
      <c r="L474" s="5" t="s">
        <v>998</v>
      </c>
      <c r="M474" s="5" t="s">
        <v>998</v>
      </c>
      <c r="N474" s="5" t="s">
        <v>998</v>
      </c>
    </row>
    <row r="475" spans="1:14" x14ac:dyDescent="0.55000000000000004">
      <c r="B475" s="10">
        <v>69</v>
      </c>
      <c r="C475" s="5" t="s">
        <v>2314</v>
      </c>
      <c r="D475" s="5" t="s">
        <v>2457</v>
      </c>
      <c r="E475" s="5" t="s">
        <v>982</v>
      </c>
      <c r="F475" s="5" t="s">
        <v>2310</v>
      </c>
      <c r="G475" s="5">
        <v>1</v>
      </c>
      <c r="H475" s="5">
        <v>8.0000000000000002E-3</v>
      </c>
      <c r="I475" s="5" t="s">
        <v>998</v>
      </c>
      <c r="J475" s="5" t="s">
        <v>11</v>
      </c>
      <c r="K475" s="5" t="s">
        <v>998</v>
      </c>
      <c r="L475" s="5" t="s">
        <v>998</v>
      </c>
      <c r="M475" s="5" t="s">
        <v>998</v>
      </c>
      <c r="N475" s="5" t="s">
        <v>998</v>
      </c>
    </row>
    <row r="476" spans="1:14" x14ac:dyDescent="0.55000000000000004">
      <c r="B476" s="9">
        <v>70</v>
      </c>
      <c r="C476" s="5" t="s">
        <v>2315</v>
      </c>
      <c r="D476" s="5" t="s">
        <v>2458</v>
      </c>
      <c r="E476" s="5" t="s">
        <v>982</v>
      </c>
      <c r="F476" s="5" t="s">
        <v>2310</v>
      </c>
      <c r="G476" s="5">
        <v>1</v>
      </c>
      <c r="H476" s="5">
        <v>8.0000000000000002E-3</v>
      </c>
      <c r="I476" s="5" t="s">
        <v>998</v>
      </c>
      <c r="J476" s="5" t="s">
        <v>11</v>
      </c>
      <c r="K476" s="5" t="s">
        <v>998</v>
      </c>
      <c r="L476" s="5" t="s">
        <v>998</v>
      </c>
      <c r="M476" s="5" t="s">
        <v>998</v>
      </c>
      <c r="N476" s="5" t="s">
        <v>998</v>
      </c>
    </row>
    <row r="477" spans="1:14" x14ac:dyDescent="0.55000000000000004">
      <c r="B477" s="10">
        <v>71</v>
      </c>
      <c r="C477" s="5" t="s">
        <v>2316</v>
      </c>
      <c r="D477" s="5" t="s">
        <v>2459</v>
      </c>
      <c r="E477" s="5" t="s">
        <v>982</v>
      </c>
      <c r="F477" s="5" t="s">
        <v>2310</v>
      </c>
      <c r="G477" s="5">
        <v>1</v>
      </c>
      <c r="H477" s="5">
        <v>8.0000000000000002E-3</v>
      </c>
      <c r="I477" s="5" t="s">
        <v>998</v>
      </c>
      <c r="J477" s="5" t="s">
        <v>11</v>
      </c>
      <c r="K477" s="5" t="s">
        <v>998</v>
      </c>
      <c r="L477" s="5" t="s">
        <v>998</v>
      </c>
      <c r="M477" s="5" t="s">
        <v>998</v>
      </c>
      <c r="N477" s="5" t="s">
        <v>998</v>
      </c>
    </row>
    <row r="478" spans="1:14" x14ac:dyDescent="0.55000000000000004">
      <c r="B478" s="9">
        <v>72</v>
      </c>
      <c r="C478" s="5" t="s">
        <v>2317</v>
      </c>
      <c r="D478" s="5" t="s">
        <v>2460</v>
      </c>
      <c r="E478" s="5" t="s">
        <v>982</v>
      </c>
      <c r="F478" s="5" t="s">
        <v>2310</v>
      </c>
      <c r="G478" s="5">
        <v>1</v>
      </c>
      <c r="H478" s="5">
        <v>8.0000000000000002E-3</v>
      </c>
      <c r="I478" s="5" t="s">
        <v>998</v>
      </c>
      <c r="J478" s="5" t="s">
        <v>11</v>
      </c>
      <c r="K478" s="5" t="s">
        <v>998</v>
      </c>
      <c r="L478" s="5" t="s">
        <v>998</v>
      </c>
      <c r="M478" s="5" t="s">
        <v>998</v>
      </c>
      <c r="N478" s="5" t="s">
        <v>998</v>
      </c>
    </row>
    <row r="479" spans="1:14" x14ac:dyDescent="0.55000000000000004">
      <c r="A479" s="24" t="s">
        <v>2245</v>
      </c>
      <c r="B479" s="10">
        <v>73</v>
      </c>
      <c r="C479" s="5" t="s">
        <v>1626</v>
      </c>
      <c r="D479" s="5" t="s">
        <v>2230</v>
      </c>
      <c r="E479" s="5" t="s">
        <v>11</v>
      </c>
      <c r="F479" s="5" t="s">
        <v>123</v>
      </c>
      <c r="G479" s="5">
        <v>1</v>
      </c>
      <c r="H479" s="5">
        <v>0</v>
      </c>
      <c r="I479" s="5" t="s">
        <v>11</v>
      </c>
      <c r="J479" s="5" t="s">
        <v>11</v>
      </c>
      <c r="K479" s="5" t="s">
        <v>11</v>
      </c>
      <c r="L479" s="5" t="s">
        <v>11</v>
      </c>
      <c r="M479" s="5" t="s">
        <v>11</v>
      </c>
      <c r="N479" s="5" t="s">
        <v>11</v>
      </c>
    </row>
    <row r="480" spans="1:14" x14ac:dyDescent="0.55000000000000004">
      <c r="B480" s="9">
        <v>74</v>
      </c>
      <c r="C480" s="5" t="s">
        <v>1627</v>
      </c>
      <c r="D480" s="5" t="s">
        <v>2461</v>
      </c>
      <c r="E480" s="5" t="s">
        <v>11</v>
      </c>
      <c r="F480" s="5" t="s">
        <v>123</v>
      </c>
      <c r="G480" s="5">
        <v>1</v>
      </c>
      <c r="H480" s="5">
        <v>0</v>
      </c>
      <c r="I480" s="5" t="s">
        <v>11</v>
      </c>
      <c r="J480" s="5" t="s">
        <v>11</v>
      </c>
      <c r="K480" s="5" t="s">
        <v>11</v>
      </c>
      <c r="L480" s="5" t="s">
        <v>11</v>
      </c>
      <c r="M480" s="5" t="s">
        <v>11</v>
      </c>
      <c r="N480" s="5" t="s">
        <v>11</v>
      </c>
    </row>
    <row r="481" spans="1:14" x14ac:dyDescent="0.55000000000000004">
      <c r="B481" s="10">
        <v>75</v>
      </c>
      <c r="C481" s="5" t="s">
        <v>1628</v>
      </c>
      <c r="D481" s="5" t="s">
        <v>2228</v>
      </c>
      <c r="E481" s="5" t="s">
        <v>11</v>
      </c>
      <c r="F481" s="5" t="s">
        <v>123</v>
      </c>
      <c r="G481" s="5">
        <v>1</v>
      </c>
      <c r="H481" s="5">
        <v>0</v>
      </c>
      <c r="I481" s="5" t="s">
        <v>11</v>
      </c>
      <c r="J481" s="5" t="s">
        <v>11</v>
      </c>
      <c r="K481" s="5" t="s">
        <v>11</v>
      </c>
      <c r="L481" s="5" t="s">
        <v>11</v>
      </c>
      <c r="M481" s="5" t="s">
        <v>11</v>
      </c>
      <c r="N481" s="5" t="s">
        <v>11</v>
      </c>
    </row>
    <row r="482" spans="1:14" x14ac:dyDescent="0.55000000000000004">
      <c r="B482" s="9">
        <v>76</v>
      </c>
      <c r="C482" s="5" t="s">
        <v>1629</v>
      </c>
      <c r="D482" s="5" t="s">
        <v>2229</v>
      </c>
      <c r="E482" s="5" t="s">
        <v>11</v>
      </c>
      <c r="F482" s="5" t="s">
        <v>123</v>
      </c>
      <c r="G482" s="5">
        <v>1</v>
      </c>
      <c r="H482" s="5">
        <v>0</v>
      </c>
      <c r="I482" s="5" t="s">
        <v>11</v>
      </c>
      <c r="J482" s="5" t="s">
        <v>11</v>
      </c>
      <c r="K482" s="5" t="s">
        <v>11</v>
      </c>
      <c r="L482" s="5" t="s">
        <v>11</v>
      </c>
      <c r="M482" s="5" t="s">
        <v>11</v>
      </c>
      <c r="N482" s="5" t="s">
        <v>11</v>
      </c>
    </row>
    <row r="483" spans="1:14" x14ac:dyDescent="0.55000000000000004">
      <c r="B483" s="10">
        <v>77</v>
      </c>
      <c r="C483" s="110" t="s">
        <v>2473</v>
      </c>
      <c r="D483" s="111" t="s">
        <v>2474</v>
      </c>
      <c r="E483" s="111" t="s">
        <v>11</v>
      </c>
      <c r="F483" s="112" t="s">
        <v>2475</v>
      </c>
      <c r="G483" s="111">
        <v>1</v>
      </c>
      <c r="H483" s="111">
        <v>0</v>
      </c>
      <c r="I483" s="111" t="s">
        <v>11</v>
      </c>
      <c r="J483" s="111" t="s">
        <v>11</v>
      </c>
      <c r="K483" s="111" t="s">
        <v>11</v>
      </c>
      <c r="L483" s="111" t="s">
        <v>11</v>
      </c>
      <c r="M483" s="111" t="s">
        <v>11</v>
      </c>
      <c r="N483" s="111" t="s">
        <v>982</v>
      </c>
    </row>
    <row r="484" spans="1:14" x14ac:dyDescent="0.55000000000000004">
      <c r="B484" s="9">
        <v>78</v>
      </c>
      <c r="C484" s="110" t="s">
        <v>2476</v>
      </c>
      <c r="D484" s="111" t="s">
        <v>2477</v>
      </c>
      <c r="E484" s="111" t="s">
        <v>11</v>
      </c>
      <c r="F484" s="112" t="s">
        <v>2475</v>
      </c>
      <c r="G484" s="111">
        <v>1</v>
      </c>
      <c r="H484" s="111">
        <v>0</v>
      </c>
      <c r="I484" s="111" t="s">
        <v>11</v>
      </c>
      <c r="J484" s="111" t="s">
        <v>11</v>
      </c>
      <c r="K484" s="111" t="s">
        <v>11</v>
      </c>
      <c r="L484" s="111" t="s">
        <v>11</v>
      </c>
      <c r="M484" s="111" t="s">
        <v>11</v>
      </c>
      <c r="N484" s="111" t="s">
        <v>982</v>
      </c>
    </row>
    <row r="485" spans="1:14" x14ac:dyDescent="0.55000000000000004">
      <c r="B485" s="10">
        <v>79</v>
      </c>
      <c r="C485" s="110" t="s">
        <v>2478</v>
      </c>
      <c r="D485" s="111" t="s">
        <v>2479</v>
      </c>
      <c r="E485" s="111" t="s">
        <v>11</v>
      </c>
      <c r="F485" s="112" t="s">
        <v>2475</v>
      </c>
      <c r="G485" s="111">
        <v>1</v>
      </c>
      <c r="H485" s="111">
        <v>0</v>
      </c>
      <c r="I485" s="111" t="s">
        <v>11</v>
      </c>
      <c r="J485" s="111" t="s">
        <v>11</v>
      </c>
      <c r="K485" s="111" t="s">
        <v>11</v>
      </c>
      <c r="L485" s="111" t="s">
        <v>11</v>
      </c>
      <c r="M485" s="111" t="s">
        <v>11</v>
      </c>
      <c r="N485" s="111" t="s">
        <v>982</v>
      </c>
    </row>
    <row r="486" spans="1:14" x14ac:dyDescent="0.55000000000000004">
      <c r="B486" s="16"/>
      <c r="C486" s="4" t="s">
        <v>458</v>
      </c>
      <c r="D486" s="4"/>
      <c r="E486" s="4"/>
      <c r="F486" s="4"/>
      <c r="G486" s="4"/>
      <c r="H486" s="4"/>
      <c r="I486" s="4"/>
      <c r="J486" s="4"/>
      <c r="K486" s="4"/>
      <c r="L486" s="4"/>
      <c r="M486" s="4"/>
      <c r="N486" s="4"/>
    </row>
    <row r="487" spans="1:14" x14ac:dyDescent="0.55000000000000004">
      <c r="B487" s="61" t="s">
        <v>1596</v>
      </c>
      <c r="C487" s="4" t="s">
        <v>520</v>
      </c>
      <c r="D487" s="4" t="s">
        <v>135</v>
      </c>
      <c r="E487" s="4" t="s">
        <v>124</v>
      </c>
      <c r="F487" s="4" t="s">
        <v>125</v>
      </c>
      <c r="G487" s="4" t="s">
        <v>127</v>
      </c>
      <c r="H487" s="4" t="s">
        <v>128</v>
      </c>
      <c r="I487" s="4" t="s">
        <v>129</v>
      </c>
      <c r="J487" s="4" t="s">
        <v>130</v>
      </c>
      <c r="K487" s="4" t="s">
        <v>131</v>
      </c>
      <c r="L487" s="4" t="s">
        <v>132</v>
      </c>
      <c r="M487" s="4" t="s">
        <v>133</v>
      </c>
      <c r="N487" s="4" t="s">
        <v>134</v>
      </c>
    </row>
    <row r="488" spans="1:14" x14ac:dyDescent="0.55000000000000004">
      <c r="A488" s="24">
        <v>1</v>
      </c>
      <c r="B488" s="9"/>
      <c r="C488" s="5" t="s">
        <v>1047</v>
      </c>
      <c r="D488" s="5" t="s">
        <v>1184</v>
      </c>
      <c r="E488" s="5" t="s">
        <v>2267</v>
      </c>
      <c r="F488" s="5">
        <v>1</v>
      </c>
      <c r="G488" s="5" t="s">
        <v>982</v>
      </c>
      <c r="H488" s="4"/>
      <c r="I488" s="4"/>
      <c r="J488" s="4"/>
      <c r="K488" s="4"/>
      <c r="L488" s="4"/>
      <c r="M488" s="4"/>
      <c r="N488" s="4"/>
    </row>
    <row r="489" spans="1:14" x14ac:dyDescent="0.55000000000000004">
      <c r="A489" s="24">
        <v>2</v>
      </c>
      <c r="B489" s="9"/>
      <c r="C489" s="5" t="s">
        <v>1049</v>
      </c>
      <c r="D489" s="5" t="s">
        <v>1185</v>
      </c>
      <c r="E489" s="5" t="s">
        <v>2267</v>
      </c>
      <c r="F489" s="5">
        <v>1</v>
      </c>
      <c r="G489" s="5" t="s">
        <v>982</v>
      </c>
      <c r="H489" s="4"/>
      <c r="I489" s="4"/>
      <c r="J489" s="4"/>
      <c r="K489" s="4"/>
      <c r="L489" s="4"/>
      <c r="M489" s="4"/>
      <c r="N489" s="4"/>
    </row>
    <row r="490" spans="1:14" x14ac:dyDescent="0.55000000000000004">
      <c r="A490" s="24">
        <v>3</v>
      </c>
      <c r="B490" s="9"/>
      <c r="C490" s="5" t="s">
        <v>1051</v>
      </c>
      <c r="D490" s="5" t="s">
        <v>1186</v>
      </c>
      <c r="E490" s="5" t="s">
        <v>2267</v>
      </c>
      <c r="F490" s="5">
        <v>1</v>
      </c>
      <c r="G490" s="5" t="s">
        <v>982</v>
      </c>
      <c r="H490" s="4"/>
      <c r="I490" s="4"/>
      <c r="J490" s="4"/>
      <c r="K490" s="4"/>
      <c r="L490" s="4"/>
      <c r="M490" s="4"/>
      <c r="N490" s="4"/>
    </row>
    <row r="491" spans="1:14" x14ac:dyDescent="0.55000000000000004">
      <c r="A491" s="24">
        <v>4</v>
      </c>
      <c r="B491" s="9"/>
      <c r="C491" s="32" t="s">
        <v>1053</v>
      </c>
      <c r="D491" s="32" t="s">
        <v>1187</v>
      </c>
      <c r="E491" s="1" t="s">
        <v>2267</v>
      </c>
      <c r="F491" s="1">
        <v>1</v>
      </c>
      <c r="G491" s="5" t="s">
        <v>982</v>
      </c>
      <c r="H491" s="4"/>
      <c r="I491" s="4"/>
      <c r="J491" s="4"/>
      <c r="K491" s="4"/>
      <c r="L491" s="4"/>
      <c r="M491" s="4"/>
      <c r="N491" s="4"/>
    </row>
    <row r="492" spans="1:14" x14ac:dyDescent="0.55000000000000004">
      <c r="A492" s="24">
        <v>5</v>
      </c>
      <c r="B492" s="9"/>
      <c r="C492" s="5" t="s">
        <v>1055</v>
      </c>
      <c r="D492" s="5" t="s">
        <v>1188</v>
      </c>
      <c r="E492" s="5" t="s">
        <v>2267</v>
      </c>
      <c r="F492" s="5">
        <v>1</v>
      </c>
      <c r="G492" s="5" t="s">
        <v>982</v>
      </c>
      <c r="H492" s="4"/>
      <c r="I492" s="4"/>
      <c r="J492" s="4"/>
      <c r="K492" s="4"/>
      <c r="L492" s="4"/>
      <c r="M492" s="4"/>
      <c r="N492" s="4"/>
    </row>
    <row r="493" spans="1:14" x14ac:dyDescent="0.55000000000000004">
      <c r="A493" s="24">
        <v>6</v>
      </c>
      <c r="B493" s="9"/>
      <c r="C493" s="5" t="s">
        <v>1057</v>
      </c>
      <c r="D493" s="5" t="s">
        <v>2380</v>
      </c>
      <c r="E493" s="5" t="s">
        <v>2267</v>
      </c>
      <c r="F493" s="5">
        <v>1</v>
      </c>
      <c r="G493" s="5" t="s">
        <v>982</v>
      </c>
      <c r="H493" s="4"/>
      <c r="I493" s="4"/>
      <c r="J493" s="4"/>
      <c r="K493" s="4"/>
      <c r="L493" s="4"/>
      <c r="M493" s="4"/>
      <c r="N493" s="4"/>
    </row>
    <row r="494" spans="1:14" x14ac:dyDescent="0.55000000000000004">
      <c r="A494" s="24">
        <v>7</v>
      </c>
      <c r="B494" s="9"/>
      <c r="C494" s="5" t="s">
        <v>1058</v>
      </c>
      <c r="D494" s="5" t="s">
        <v>2381</v>
      </c>
      <c r="E494" s="5" t="s">
        <v>2267</v>
      </c>
      <c r="F494" s="5">
        <v>1</v>
      </c>
      <c r="G494" s="5" t="s">
        <v>982</v>
      </c>
      <c r="H494" s="4"/>
      <c r="I494" s="4"/>
      <c r="J494" s="4"/>
      <c r="K494" s="4"/>
      <c r="L494" s="4"/>
      <c r="M494" s="4"/>
      <c r="N494" s="4"/>
    </row>
    <row r="495" spans="1:14" x14ac:dyDescent="0.55000000000000004">
      <c r="A495" s="24">
        <v>8</v>
      </c>
      <c r="B495" s="9"/>
      <c r="C495" s="5" t="s">
        <v>1059</v>
      </c>
      <c r="D495" s="5" t="s">
        <v>2382</v>
      </c>
      <c r="E495" s="5" t="s">
        <v>2267</v>
      </c>
      <c r="F495" s="5">
        <v>1</v>
      </c>
      <c r="G495" s="5" t="s">
        <v>982</v>
      </c>
      <c r="H495" s="4"/>
      <c r="I495" s="4"/>
      <c r="J495" s="4"/>
      <c r="K495" s="4"/>
      <c r="L495" s="4"/>
      <c r="M495" s="4"/>
      <c r="N495" s="4"/>
    </row>
    <row r="496" spans="1:14" x14ac:dyDescent="0.55000000000000004">
      <c r="A496" s="24">
        <v>9</v>
      </c>
      <c r="B496" s="9" t="s">
        <v>1495</v>
      </c>
      <c r="C496" s="5" t="s">
        <v>2318</v>
      </c>
      <c r="D496" s="5" t="s">
        <v>2383</v>
      </c>
      <c r="E496" s="5" t="s">
        <v>2267</v>
      </c>
      <c r="F496" s="5">
        <v>1</v>
      </c>
      <c r="G496" s="5" t="s">
        <v>982</v>
      </c>
      <c r="H496" s="4"/>
      <c r="I496" s="4"/>
      <c r="J496" s="4"/>
      <c r="K496" s="4"/>
      <c r="L496" s="4"/>
      <c r="M496" s="4"/>
      <c r="N496" s="4"/>
    </row>
    <row r="497" spans="1:14" x14ac:dyDescent="0.55000000000000004">
      <c r="A497" s="24">
        <v>10</v>
      </c>
      <c r="B497" s="9"/>
      <c r="C497" s="5" t="s">
        <v>1060</v>
      </c>
      <c r="D497" s="5" t="s">
        <v>2384</v>
      </c>
      <c r="E497" s="5" t="s">
        <v>2267</v>
      </c>
      <c r="F497" s="5">
        <v>1</v>
      </c>
      <c r="G497" s="5" t="s">
        <v>982</v>
      </c>
      <c r="H497" s="4"/>
      <c r="I497" s="4"/>
      <c r="J497" s="4"/>
      <c r="K497" s="4"/>
      <c r="L497" s="4"/>
      <c r="M497" s="4"/>
      <c r="N497" s="4"/>
    </row>
    <row r="498" spans="1:14" x14ac:dyDescent="0.55000000000000004">
      <c r="A498" s="24">
        <v>11</v>
      </c>
      <c r="B498" s="9"/>
      <c r="C498" s="5" t="s">
        <v>1061</v>
      </c>
      <c r="D498" s="5" t="s">
        <v>2385</v>
      </c>
      <c r="E498" s="5" t="s">
        <v>2267</v>
      </c>
      <c r="F498" s="5">
        <v>1</v>
      </c>
      <c r="G498" s="5" t="s">
        <v>982</v>
      </c>
      <c r="H498" s="4"/>
      <c r="I498" s="4"/>
      <c r="J498" s="4"/>
      <c r="K498" s="4"/>
      <c r="L498" s="4"/>
      <c r="M498" s="4"/>
      <c r="N498" s="4"/>
    </row>
    <row r="499" spans="1:14" x14ac:dyDescent="0.55000000000000004">
      <c r="A499" s="24">
        <v>12</v>
      </c>
      <c r="B499" s="9"/>
      <c r="C499" s="5" t="s">
        <v>1062</v>
      </c>
      <c r="D499" s="5" t="s">
        <v>2386</v>
      </c>
      <c r="E499" s="5" t="s">
        <v>2267</v>
      </c>
      <c r="F499" s="5">
        <v>1</v>
      </c>
      <c r="G499" s="5" t="s">
        <v>982</v>
      </c>
      <c r="H499" s="4"/>
      <c r="I499" s="4"/>
      <c r="J499" s="4"/>
      <c r="K499" s="4"/>
      <c r="L499" s="4"/>
      <c r="M499" s="4"/>
      <c r="N499" s="4"/>
    </row>
    <row r="500" spans="1:14" x14ac:dyDescent="0.55000000000000004">
      <c r="A500" s="24">
        <v>13</v>
      </c>
      <c r="B500" s="9"/>
      <c r="C500" s="5" t="s">
        <v>1063</v>
      </c>
      <c r="D500" s="5" t="s">
        <v>2387</v>
      </c>
      <c r="E500" s="5" t="s">
        <v>2267</v>
      </c>
      <c r="F500" s="5">
        <v>1</v>
      </c>
      <c r="G500" s="5" t="s">
        <v>982</v>
      </c>
      <c r="H500" s="4"/>
      <c r="I500" s="4"/>
      <c r="J500" s="4"/>
      <c r="K500" s="4"/>
      <c r="L500" s="4"/>
      <c r="M500" s="4"/>
      <c r="N500" s="4"/>
    </row>
    <row r="501" spans="1:14" x14ac:dyDescent="0.55000000000000004">
      <c r="A501" s="24">
        <v>14</v>
      </c>
      <c r="B501" s="9"/>
      <c r="C501" s="5" t="s">
        <v>1064</v>
      </c>
      <c r="D501" s="5" t="s">
        <v>1189</v>
      </c>
      <c r="E501" s="5" t="s">
        <v>2267</v>
      </c>
      <c r="F501" s="5">
        <v>1</v>
      </c>
      <c r="G501" s="5" t="s">
        <v>982</v>
      </c>
      <c r="H501" s="4"/>
      <c r="I501" s="4"/>
      <c r="J501" s="4"/>
      <c r="K501" s="4"/>
      <c r="L501" s="4"/>
      <c r="M501" s="4"/>
      <c r="N501" s="4"/>
    </row>
    <row r="502" spans="1:14" x14ac:dyDescent="0.55000000000000004">
      <c r="A502" s="24">
        <v>15</v>
      </c>
      <c r="B502" s="9"/>
      <c r="C502" s="5" t="s">
        <v>1065</v>
      </c>
      <c r="D502" s="5" t="s">
        <v>1190</v>
      </c>
      <c r="E502" s="5" t="s">
        <v>2267</v>
      </c>
      <c r="F502" s="5">
        <v>1</v>
      </c>
      <c r="G502" s="5" t="s">
        <v>982</v>
      </c>
      <c r="H502" s="4"/>
      <c r="I502" s="4"/>
      <c r="J502" s="4"/>
      <c r="K502" s="4"/>
      <c r="L502" s="4"/>
      <c r="M502" s="4"/>
      <c r="N502" s="4"/>
    </row>
    <row r="503" spans="1:14" x14ac:dyDescent="0.55000000000000004">
      <c r="A503" s="24">
        <v>16</v>
      </c>
      <c r="B503" s="9"/>
      <c r="C503" s="5" t="s">
        <v>1066</v>
      </c>
      <c r="D503" s="5" t="s">
        <v>1191</v>
      </c>
      <c r="E503" s="5" t="s">
        <v>2267</v>
      </c>
      <c r="F503" s="5">
        <v>1</v>
      </c>
      <c r="G503" s="5" t="s">
        <v>982</v>
      </c>
      <c r="H503" s="4"/>
      <c r="I503" s="4"/>
      <c r="J503" s="4"/>
      <c r="K503" s="4"/>
      <c r="L503" s="4"/>
      <c r="M503" s="4"/>
      <c r="N503" s="4"/>
    </row>
    <row r="504" spans="1:14" x14ac:dyDescent="0.55000000000000004">
      <c r="A504" s="24">
        <v>17</v>
      </c>
      <c r="B504" s="9"/>
      <c r="C504" s="5" t="s">
        <v>1067</v>
      </c>
      <c r="D504" s="5" t="s">
        <v>1192</v>
      </c>
      <c r="E504" s="5" t="s">
        <v>2267</v>
      </c>
      <c r="F504" s="5">
        <v>1</v>
      </c>
      <c r="G504" s="5" t="s">
        <v>982</v>
      </c>
      <c r="H504" s="4"/>
      <c r="I504" s="4"/>
      <c r="J504" s="4"/>
      <c r="K504" s="4"/>
      <c r="L504" s="4"/>
      <c r="M504" s="4"/>
      <c r="N504" s="4"/>
    </row>
    <row r="505" spans="1:14" x14ac:dyDescent="0.55000000000000004">
      <c r="A505" s="24">
        <v>18</v>
      </c>
      <c r="B505" s="9" t="s">
        <v>2246</v>
      </c>
      <c r="C505" s="5" t="s">
        <v>2319</v>
      </c>
      <c r="D505" s="5" t="s">
        <v>2388</v>
      </c>
      <c r="E505" s="5" t="s">
        <v>2267</v>
      </c>
      <c r="F505" s="5">
        <v>1</v>
      </c>
      <c r="G505" s="5" t="s">
        <v>982</v>
      </c>
      <c r="H505" s="4"/>
      <c r="I505" s="4"/>
      <c r="J505" s="4"/>
      <c r="K505" s="4"/>
      <c r="L505" s="4"/>
      <c r="M505" s="4"/>
      <c r="N505" s="4"/>
    </row>
    <row r="506" spans="1:14" x14ac:dyDescent="0.55000000000000004">
      <c r="A506" s="24">
        <v>19</v>
      </c>
      <c r="B506" s="9" t="s">
        <v>1671</v>
      </c>
      <c r="C506" s="5" t="s">
        <v>2320</v>
      </c>
      <c r="D506" s="5" t="s">
        <v>2389</v>
      </c>
      <c r="E506" s="5" t="s">
        <v>2267</v>
      </c>
      <c r="F506" s="5">
        <v>1</v>
      </c>
      <c r="G506" s="5" t="s">
        <v>982</v>
      </c>
      <c r="H506" s="4"/>
      <c r="I506" s="4"/>
      <c r="J506" s="4"/>
      <c r="K506" s="4"/>
      <c r="L506" s="4"/>
      <c r="M506" s="4"/>
      <c r="N506" s="4"/>
    </row>
    <row r="507" spans="1:14" x14ac:dyDescent="0.55000000000000004">
      <c r="A507" s="24">
        <v>20</v>
      </c>
      <c r="B507" s="9"/>
      <c r="C507" s="5" t="s">
        <v>1068</v>
      </c>
      <c r="D507" s="5" t="s">
        <v>1193</v>
      </c>
      <c r="E507" s="5" t="s">
        <v>2267</v>
      </c>
      <c r="F507" s="5">
        <v>1</v>
      </c>
      <c r="G507" s="5" t="s">
        <v>982</v>
      </c>
      <c r="H507" s="4"/>
      <c r="I507" s="4"/>
      <c r="J507" s="4"/>
      <c r="K507" s="4"/>
      <c r="L507" s="4"/>
      <c r="M507" s="4"/>
      <c r="N507" s="4"/>
    </row>
    <row r="508" spans="1:14" x14ac:dyDescent="0.55000000000000004">
      <c r="A508" s="24">
        <v>21</v>
      </c>
      <c r="B508" s="9"/>
      <c r="C508" s="5" t="s">
        <v>1069</v>
      </c>
      <c r="D508" s="5" t="s">
        <v>1194</v>
      </c>
      <c r="E508" s="5" t="s">
        <v>2267</v>
      </c>
      <c r="F508" s="5">
        <v>1</v>
      </c>
      <c r="G508" s="5" t="s">
        <v>982</v>
      </c>
      <c r="H508" s="4"/>
      <c r="I508" s="4"/>
      <c r="J508" s="4"/>
      <c r="K508" s="4"/>
      <c r="L508" s="4"/>
      <c r="M508" s="4"/>
      <c r="N508" s="4"/>
    </row>
    <row r="509" spans="1:14" x14ac:dyDescent="0.55000000000000004">
      <c r="A509" s="24">
        <v>22</v>
      </c>
      <c r="B509" s="9"/>
      <c r="C509" s="5" t="s">
        <v>1070</v>
      </c>
      <c r="D509" s="5" t="s">
        <v>1195</v>
      </c>
      <c r="E509" s="5" t="s">
        <v>2267</v>
      </c>
      <c r="F509" s="5">
        <v>1</v>
      </c>
      <c r="G509" s="5" t="s">
        <v>982</v>
      </c>
      <c r="H509" s="4"/>
      <c r="I509" s="4"/>
      <c r="J509" s="4"/>
      <c r="K509" s="4"/>
      <c r="L509" s="4"/>
      <c r="M509" s="4"/>
      <c r="N509" s="4"/>
    </row>
    <row r="510" spans="1:14" x14ac:dyDescent="0.55000000000000004">
      <c r="A510" s="24">
        <v>23</v>
      </c>
      <c r="B510" s="9"/>
      <c r="C510" s="5" t="s">
        <v>1071</v>
      </c>
      <c r="D510" s="5" t="s">
        <v>1196</v>
      </c>
      <c r="E510" s="5" t="s">
        <v>2267</v>
      </c>
      <c r="F510" s="5">
        <v>1</v>
      </c>
      <c r="G510" s="5" t="s">
        <v>982</v>
      </c>
      <c r="H510" s="4"/>
      <c r="I510" s="4"/>
      <c r="J510" s="4"/>
      <c r="K510" s="4"/>
      <c r="L510" s="4"/>
      <c r="M510" s="4"/>
      <c r="N510" s="4"/>
    </row>
    <row r="511" spans="1:14" x14ac:dyDescent="0.55000000000000004">
      <c r="A511" s="24">
        <v>24</v>
      </c>
      <c r="B511" s="9"/>
      <c r="C511" s="5" t="s">
        <v>1072</v>
      </c>
      <c r="D511" s="5" t="s">
        <v>1197</v>
      </c>
      <c r="E511" s="5" t="s">
        <v>2267</v>
      </c>
      <c r="F511" s="5">
        <v>1</v>
      </c>
      <c r="G511" s="5" t="s">
        <v>982</v>
      </c>
      <c r="H511" s="4"/>
      <c r="I511" s="4"/>
      <c r="J511" s="4"/>
      <c r="K511" s="4"/>
      <c r="L511" s="4"/>
      <c r="M511" s="4"/>
      <c r="N511" s="4"/>
    </row>
    <row r="512" spans="1:14" x14ac:dyDescent="0.55000000000000004">
      <c r="A512" s="24">
        <v>25</v>
      </c>
      <c r="B512" s="9"/>
      <c r="C512" s="5" t="s">
        <v>1073</v>
      </c>
      <c r="D512" s="5" t="s">
        <v>1198</v>
      </c>
      <c r="E512" s="5" t="s">
        <v>2267</v>
      </c>
      <c r="F512" s="5">
        <v>1</v>
      </c>
      <c r="G512" s="5" t="s">
        <v>982</v>
      </c>
      <c r="H512" s="4"/>
      <c r="I512" s="4"/>
      <c r="J512" s="4"/>
      <c r="K512" s="4"/>
      <c r="L512" s="4"/>
      <c r="M512" s="4"/>
      <c r="N512" s="4"/>
    </row>
    <row r="513" spans="1:14" x14ac:dyDescent="0.55000000000000004">
      <c r="A513" s="24">
        <v>26</v>
      </c>
      <c r="B513" s="9"/>
      <c r="C513" s="5" t="s">
        <v>1074</v>
      </c>
      <c r="D513" s="5" t="s">
        <v>1199</v>
      </c>
      <c r="E513" s="5" t="s">
        <v>2267</v>
      </c>
      <c r="F513" s="5">
        <v>1</v>
      </c>
      <c r="G513" s="5" t="s">
        <v>982</v>
      </c>
      <c r="H513" s="4"/>
      <c r="I513" s="4"/>
      <c r="J513" s="4"/>
      <c r="K513" s="4"/>
      <c r="L513" s="4"/>
      <c r="M513" s="4"/>
      <c r="N513" s="4"/>
    </row>
    <row r="514" spans="1:14" x14ac:dyDescent="0.55000000000000004">
      <c r="A514" s="24">
        <v>27</v>
      </c>
      <c r="B514" s="9" t="s">
        <v>1547</v>
      </c>
      <c r="C514" s="5" t="s">
        <v>2321</v>
      </c>
      <c r="D514" s="5" t="s">
        <v>2390</v>
      </c>
      <c r="E514" s="5" t="s">
        <v>2267</v>
      </c>
      <c r="F514" s="5">
        <v>1</v>
      </c>
      <c r="G514" s="5" t="s">
        <v>982</v>
      </c>
      <c r="H514" s="4"/>
      <c r="I514" s="4"/>
      <c r="J514" s="4"/>
      <c r="K514" s="4"/>
      <c r="L514" s="4"/>
      <c r="M514" s="4"/>
      <c r="N514" s="4"/>
    </row>
    <row r="515" spans="1:14" x14ac:dyDescent="0.55000000000000004">
      <c r="A515" s="24">
        <v>28</v>
      </c>
      <c r="B515" s="9"/>
      <c r="C515" s="111" t="s">
        <v>2480</v>
      </c>
      <c r="D515" s="111" t="s">
        <v>2481</v>
      </c>
      <c r="E515" s="111" t="s">
        <v>2482</v>
      </c>
      <c r="F515" s="111">
        <v>1</v>
      </c>
      <c r="G515" s="111" t="s">
        <v>982</v>
      </c>
      <c r="H515" s="4"/>
      <c r="I515" s="4"/>
      <c r="J515" s="4"/>
      <c r="K515" s="4"/>
      <c r="L515" s="4"/>
      <c r="M515" s="4"/>
      <c r="N515" s="4"/>
    </row>
    <row r="516" spans="1:14" x14ac:dyDescent="0.55000000000000004">
      <c r="A516" s="24">
        <v>29</v>
      </c>
      <c r="B516" s="9"/>
      <c r="C516" s="111" t="s">
        <v>2483</v>
      </c>
      <c r="D516" s="111" t="s">
        <v>2484</v>
      </c>
      <c r="E516" s="111" t="s">
        <v>2482</v>
      </c>
      <c r="F516" s="111">
        <v>1</v>
      </c>
      <c r="G516" s="111" t="s">
        <v>982</v>
      </c>
      <c r="H516" s="4"/>
      <c r="I516" s="4"/>
      <c r="J516" s="4"/>
      <c r="K516" s="4"/>
      <c r="L516" s="4"/>
      <c r="M516" s="4"/>
      <c r="N516" s="4"/>
    </row>
    <row r="517" spans="1:14" x14ac:dyDescent="0.55000000000000004">
      <c r="A517" s="24">
        <v>30</v>
      </c>
      <c r="B517" s="9"/>
      <c r="C517" s="111" t="s">
        <v>2485</v>
      </c>
      <c r="D517" s="111" t="s">
        <v>2486</v>
      </c>
      <c r="E517" s="111" t="s">
        <v>2482</v>
      </c>
      <c r="F517" s="111">
        <v>1</v>
      </c>
      <c r="G517" s="111" t="s">
        <v>982</v>
      </c>
      <c r="H517" s="4"/>
      <c r="I517" s="4"/>
      <c r="J517" s="4"/>
      <c r="K517" s="4"/>
      <c r="L517" s="4"/>
      <c r="M517" s="4"/>
      <c r="N517" s="4"/>
    </row>
    <row r="518" spans="1:14" x14ac:dyDescent="0.55000000000000004">
      <c r="A518" s="24">
        <v>31</v>
      </c>
      <c r="B518" s="9"/>
      <c r="C518" s="111" t="s">
        <v>2487</v>
      </c>
      <c r="D518" s="111" t="s">
        <v>2488</v>
      </c>
      <c r="E518" s="111" t="s">
        <v>2482</v>
      </c>
      <c r="F518" s="111">
        <v>1</v>
      </c>
      <c r="G518" s="111" t="s">
        <v>982</v>
      </c>
      <c r="H518" s="4"/>
      <c r="I518" s="4"/>
      <c r="J518" s="4"/>
      <c r="K518" s="4"/>
      <c r="L518" s="4"/>
      <c r="M518" s="4"/>
      <c r="N518" s="4"/>
    </row>
    <row r="519" spans="1:14" x14ac:dyDescent="0.55000000000000004">
      <c r="A519" s="24">
        <v>32</v>
      </c>
      <c r="B519" s="9"/>
      <c r="C519" s="111" t="s">
        <v>2489</v>
      </c>
      <c r="D519" s="111" t="s">
        <v>2490</v>
      </c>
      <c r="E519" s="111" t="s">
        <v>2482</v>
      </c>
      <c r="F519" s="111">
        <v>1</v>
      </c>
      <c r="G519" s="111" t="s">
        <v>982</v>
      </c>
      <c r="H519" s="4"/>
      <c r="I519" s="4"/>
      <c r="J519" s="4"/>
      <c r="K519" s="4"/>
      <c r="L519" s="4"/>
      <c r="M519" s="4"/>
      <c r="N519" s="4"/>
    </row>
    <row r="520" spans="1:14" x14ac:dyDescent="0.55000000000000004">
      <c r="A520" s="24">
        <v>33</v>
      </c>
      <c r="C520" s="111" t="s">
        <v>2491</v>
      </c>
      <c r="D520" s="111" t="s">
        <v>2492</v>
      </c>
      <c r="E520" s="111" t="s">
        <v>2493</v>
      </c>
      <c r="F520" s="111">
        <v>1</v>
      </c>
      <c r="G520" s="111" t="s">
        <v>982</v>
      </c>
      <c r="H520" s="4"/>
      <c r="I520" s="4"/>
      <c r="J520" s="4"/>
      <c r="K520" s="4"/>
      <c r="L520" s="4"/>
      <c r="M520" s="4"/>
      <c r="N520" s="4"/>
    </row>
    <row r="521" spans="1:14" x14ac:dyDescent="0.55000000000000004">
      <c r="B521" s="16"/>
      <c r="C521" s="4" t="s">
        <v>458</v>
      </c>
      <c r="D521" s="4"/>
      <c r="E521" s="4"/>
      <c r="F521" s="4"/>
      <c r="G521" s="4"/>
      <c r="H521" s="4"/>
      <c r="I521" s="4"/>
      <c r="J521" s="4"/>
      <c r="K521" s="4"/>
      <c r="L521" s="4"/>
      <c r="M521" s="4"/>
      <c r="N521" s="4"/>
    </row>
    <row r="522" spans="1:14" x14ac:dyDescent="0.55000000000000004">
      <c r="B522" s="61" t="s">
        <v>1597</v>
      </c>
      <c r="C522" s="4" t="s">
        <v>532</v>
      </c>
      <c r="D522" s="4" t="s">
        <v>943</v>
      </c>
      <c r="E522" s="4" t="s">
        <v>944</v>
      </c>
      <c r="F522" s="4" t="s">
        <v>945</v>
      </c>
      <c r="G522" s="4" t="s">
        <v>946</v>
      </c>
      <c r="H522" s="4" t="s">
        <v>947</v>
      </c>
      <c r="I522" s="4" t="s">
        <v>948</v>
      </c>
      <c r="J522" s="4" t="s">
        <v>949</v>
      </c>
      <c r="K522" s="4" t="s">
        <v>950</v>
      </c>
      <c r="L522" s="4"/>
      <c r="M522" s="4"/>
      <c r="N522" s="4"/>
    </row>
    <row r="523" spans="1:14" x14ac:dyDescent="0.55000000000000004">
      <c r="A523" s="24">
        <v>1</v>
      </c>
      <c r="B523" s="12" t="s">
        <v>533</v>
      </c>
      <c r="C523" s="32" t="s">
        <v>1075</v>
      </c>
      <c r="D523" s="5" t="s">
        <v>982</v>
      </c>
      <c r="E523" s="4"/>
      <c r="F523" s="4"/>
      <c r="G523" s="4"/>
      <c r="H523" s="4"/>
      <c r="I523" s="4"/>
      <c r="J523" s="4"/>
      <c r="K523" s="4"/>
      <c r="L523" s="4"/>
      <c r="M523" s="4"/>
      <c r="N523" s="4"/>
    </row>
    <row r="524" spans="1:14" x14ac:dyDescent="0.55000000000000004">
      <c r="A524" s="24">
        <v>2</v>
      </c>
      <c r="B524" s="12" t="s">
        <v>534</v>
      </c>
      <c r="C524" s="5" t="s">
        <v>1076</v>
      </c>
      <c r="D524" s="5" t="s">
        <v>982</v>
      </c>
      <c r="E524" s="4"/>
      <c r="F524" s="4"/>
      <c r="G524" s="4"/>
      <c r="H524" s="4"/>
      <c r="I524" s="4"/>
      <c r="J524" s="4"/>
      <c r="K524" s="4"/>
      <c r="L524" s="4"/>
      <c r="M524" s="4"/>
      <c r="N524" s="4"/>
    </row>
    <row r="525" spans="1:14" x14ac:dyDescent="0.55000000000000004">
      <c r="A525" s="24">
        <v>3</v>
      </c>
      <c r="B525" s="12" t="s">
        <v>535</v>
      </c>
      <c r="C525" s="5" t="s">
        <v>1077</v>
      </c>
      <c r="D525" s="5" t="s">
        <v>982</v>
      </c>
      <c r="E525" s="4"/>
      <c r="F525" s="4"/>
      <c r="G525" s="4"/>
      <c r="H525" s="4"/>
      <c r="I525" s="4"/>
      <c r="J525" s="4"/>
      <c r="K525" s="4"/>
      <c r="L525" s="4"/>
      <c r="M525" s="4"/>
      <c r="N525" s="4"/>
    </row>
    <row r="526" spans="1:14" x14ac:dyDescent="0.55000000000000004">
      <c r="A526" s="24">
        <v>4</v>
      </c>
      <c r="B526" s="12" t="s">
        <v>536</v>
      </c>
      <c r="C526" s="5" t="s">
        <v>1078</v>
      </c>
      <c r="D526" s="5" t="s">
        <v>982</v>
      </c>
      <c r="E526" s="4"/>
      <c r="F526" s="4"/>
      <c r="G526" s="4"/>
      <c r="H526" s="4"/>
      <c r="I526" s="4"/>
      <c r="J526" s="4"/>
      <c r="K526" s="4"/>
      <c r="L526" s="4"/>
      <c r="M526" s="4"/>
      <c r="N526" s="4"/>
    </row>
    <row r="527" spans="1:14" x14ac:dyDescent="0.55000000000000004">
      <c r="A527" s="24">
        <v>5</v>
      </c>
      <c r="B527" s="12" t="s">
        <v>537</v>
      </c>
      <c r="C527" s="5" t="s">
        <v>1079</v>
      </c>
      <c r="D527" s="5" t="s">
        <v>982</v>
      </c>
      <c r="E527" s="4"/>
      <c r="F527" s="4"/>
      <c r="G527" s="4"/>
      <c r="H527" s="4"/>
      <c r="I527" s="4"/>
      <c r="J527" s="4"/>
      <c r="K527" s="4"/>
      <c r="L527" s="4"/>
      <c r="M527" s="4"/>
      <c r="N527" s="4"/>
    </row>
    <row r="528" spans="1:14" x14ac:dyDescent="0.55000000000000004">
      <c r="A528" s="24">
        <v>6</v>
      </c>
      <c r="B528" s="12" t="s">
        <v>538</v>
      </c>
      <c r="C528" s="5" t="s">
        <v>1080</v>
      </c>
      <c r="D528" s="5" t="s">
        <v>982</v>
      </c>
      <c r="E528" s="4"/>
      <c r="F528" s="4"/>
      <c r="G528" s="4"/>
      <c r="H528" s="4"/>
      <c r="I528" s="4"/>
      <c r="J528" s="4"/>
      <c r="K528" s="4"/>
      <c r="L528" s="4"/>
      <c r="M528" s="4"/>
      <c r="N528" s="4"/>
    </row>
    <row r="529" spans="1:14" x14ac:dyDescent="0.55000000000000004">
      <c r="A529" s="24">
        <v>7</v>
      </c>
      <c r="B529" s="12" t="s">
        <v>539</v>
      </c>
      <c r="C529" s="5" t="s">
        <v>1081</v>
      </c>
      <c r="D529" s="5" t="s">
        <v>982</v>
      </c>
      <c r="E529" s="4"/>
      <c r="F529" s="4"/>
      <c r="G529" s="4"/>
      <c r="H529" s="4"/>
      <c r="I529" s="4"/>
      <c r="J529" s="4"/>
      <c r="K529" s="4"/>
      <c r="L529" s="4"/>
      <c r="M529" s="4"/>
      <c r="N529" s="4"/>
    </row>
    <row r="530" spans="1:14" x14ac:dyDescent="0.55000000000000004">
      <c r="A530" s="24">
        <v>8</v>
      </c>
      <c r="B530" s="12" t="s">
        <v>540</v>
      </c>
      <c r="C530" s="5" t="s">
        <v>1082</v>
      </c>
      <c r="D530" s="5" t="s">
        <v>982</v>
      </c>
      <c r="E530" s="4"/>
      <c r="F530" s="4"/>
      <c r="G530" s="4"/>
      <c r="H530" s="4"/>
      <c r="I530" s="4"/>
      <c r="J530" s="4"/>
      <c r="K530" s="4"/>
      <c r="L530" s="4"/>
      <c r="M530" s="4"/>
      <c r="N530" s="4"/>
    </row>
    <row r="531" spans="1:14" x14ac:dyDescent="0.55000000000000004">
      <c r="A531" s="24">
        <v>9</v>
      </c>
      <c r="B531" s="12" t="s">
        <v>541</v>
      </c>
      <c r="C531" s="5" t="s">
        <v>1083</v>
      </c>
      <c r="D531" s="5" t="s">
        <v>982</v>
      </c>
      <c r="E531" s="4"/>
      <c r="F531" s="4"/>
      <c r="G531" s="4"/>
      <c r="H531" s="4"/>
      <c r="I531" s="4"/>
      <c r="J531" s="4"/>
      <c r="K531" s="4"/>
      <c r="L531" s="4"/>
      <c r="M531" s="4"/>
      <c r="N531" s="4"/>
    </row>
    <row r="532" spans="1:14" x14ac:dyDescent="0.55000000000000004">
      <c r="A532" s="24">
        <v>10</v>
      </c>
      <c r="B532" s="12" t="s">
        <v>542</v>
      </c>
      <c r="C532" s="5" t="s">
        <v>1084</v>
      </c>
      <c r="D532" s="5" t="s">
        <v>982</v>
      </c>
      <c r="E532" s="4"/>
      <c r="F532" s="4"/>
      <c r="G532" s="4"/>
      <c r="H532" s="4"/>
      <c r="I532" s="4"/>
      <c r="J532" s="4"/>
      <c r="K532" s="4"/>
      <c r="L532" s="4"/>
      <c r="M532" s="4"/>
      <c r="N532" s="4"/>
    </row>
    <row r="533" spans="1:14" x14ac:dyDescent="0.55000000000000004">
      <c r="A533" s="24">
        <v>11</v>
      </c>
      <c r="B533" s="12" t="s">
        <v>543</v>
      </c>
      <c r="C533" s="5" t="s">
        <v>1085</v>
      </c>
      <c r="D533" s="5" t="s">
        <v>982</v>
      </c>
      <c r="E533" s="4"/>
      <c r="F533" s="4"/>
      <c r="G533" s="4"/>
      <c r="H533" s="4"/>
      <c r="I533" s="4"/>
      <c r="J533" s="4"/>
      <c r="K533" s="4"/>
      <c r="L533" s="4"/>
      <c r="M533" s="4"/>
      <c r="N533" s="4"/>
    </row>
    <row r="534" spans="1:14" x14ac:dyDescent="0.55000000000000004">
      <c r="A534" s="24">
        <v>12</v>
      </c>
      <c r="B534" s="12" t="s">
        <v>544</v>
      </c>
      <c r="C534" s="5" t="s">
        <v>1086</v>
      </c>
      <c r="D534" s="5" t="s">
        <v>982</v>
      </c>
      <c r="E534" s="4"/>
      <c r="F534" s="4"/>
      <c r="G534" s="4"/>
      <c r="H534" s="4"/>
      <c r="I534" s="4"/>
      <c r="J534" s="4"/>
      <c r="K534" s="4"/>
      <c r="L534" s="4"/>
      <c r="M534" s="4"/>
      <c r="N534" s="4"/>
    </row>
    <row r="535" spans="1:14" x14ac:dyDescent="0.55000000000000004">
      <c r="A535" s="24">
        <v>13</v>
      </c>
      <c r="B535" s="12" t="s">
        <v>545</v>
      </c>
      <c r="C535" s="5" t="s">
        <v>1087</v>
      </c>
      <c r="D535" s="5" t="s">
        <v>982</v>
      </c>
      <c r="E535" s="4"/>
      <c r="F535" s="4"/>
      <c r="G535" s="4"/>
      <c r="H535" s="4"/>
      <c r="I535" s="4"/>
      <c r="J535" s="4"/>
      <c r="K535" s="4"/>
      <c r="L535" s="4"/>
      <c r="M535" s="4"/>
      <c r="N535" s="4"/>
    </row>
    <row r="536" spans="1:14" x14ac:dyDescent="0.55000000000000004">
      <c r="A536" s="24">
        <v>14</v>
      </c>
      <c r="B536" s="12" t="s">
        <v>546</v>
      </c>
      <c r="C536" s="5" t="s">
        <v>1088</v>
      </c>
      <c r="D536" s="5" t="s">
        <v>982</v>
      </c>
      <c r="E536" s="4"/>
      <c r="F536" s="4"/>
      <c r="G536" s="4"/>
      <c r="H536" s="4"/>
      <c r="I536" s="4"/>
      <c r="J536" s="4"/>
      <c r="K536" s="4"/>
      <c r="L536" s="4"/>
      <c r="M536" s="4"/>
      <c r="N536" s="4"/>
    </row>
    <row r="537" spans="1:14" x14ac:dyDescent="0.55000000000000004">
      <c r="A537" s="24">
        <v>15</v>
      </c>
      <c r="B537" s="12" t="s">
        <v>547</v>
      </c>
      <c r="C537" s="5" t="s">
        <v>1089</v>
      </c>
      <c r="D537" s="5" t="s">
        <v>982</v>
      </c>
      <c r="E537" s="4"/>
      <c r="F537" s="4"/>
      <c r="G537" s="4"/>
      <c r="H537" s="4"/>
      <c r="I537" s="4"/>
      <c r="J537" s="4"/>
      <c r="K537" s="4"/>
      <c r="L537" s="4"/>
      <c r="M537" s="4"/>
      <c r="N537" s="4"/>
    </row>
    <row r="538" spans="1:14" x14ac:dyDescent="0.55000000000000004">
      <c r="A538" s="24">
        <v>16</v>
      </c>
      <c r="B538" s="12" t="s">
        <v>548</v>
      </c>
      <c r="C538" s="5" t="s">
        <v>1090</v>
      </c>
      <c r="D538" s="5" t="s">
        <v>982</v>
      </c>
      <c r="E538" s="4"/>
      <c r="F538" s="4"/>
      <c r="G538" s="4"/>
      <c r="H538" s="4"/>
      <c r="I538" s="4"/>
      <c r="J538" s="4"/>
      <c r="K538" s="4"/>
      <c r="L538" s="4"/>
      <c r="M538" s="4"/>
      <c r="N538" s="4"/>
    </row>
    <row r="539" spans="1:14" x14ac:dyDescent="0.55000000000000004">
      <c r="A539" s="24">
        <v>17</v>
      </c>
      <c r="B539" s="12" t="s">
        <v>549</v>
      </c>
      <c r="C539" s="5" t="s">
        <v>1091</v>
      </c>
      <c r="D539" s="5" t="s">
        <v>982</v>
      </c>
      <c r="E539" s="4"/>
      <c r="F539" s="4"/>
      <c r="G539" s="4"/>
      <c r="H539" s="4"/>
      <c r="I539" s="4"/>
      <c r="J539" s="4"/>
      <c r="K539" s="4"/>
      <c r="L539" s="4"/>
      <c r="M539" s="4"/>
      <c r="N539" s="4"/>
    </row>
    <row r="540" spans="1:14" x14ac:dyDescent="0.55000000000000004">
      <c r="A540" s="24">
        <v>18</v>
      </c>
      <c r="B540" s="12" t="s">
        <v>550</v>
      </c>
      <c r="C540" s="5" t="s">
        <v>1092</v>
      </c>
      <c r="D540" s="5" t="s">
        <v>982</v>
      </c>
      <c r="E540" s="4"/>
      <c r="F540" s="4"/>
      <c r="G540" s="4"/>
      <c r="H540" s="4"/>
      <c r="I540" s="4"/>
      <c r="J540" s="4"/>
      <c r="K540" s="4"/>
      <c r="L540" s="4"/>
      <c r="M540" s="4"/>
      <c r="N540" s="4"/>
    </row>
    <row r="541" spans="1:14" x14ac:dyDescent="0.55000000000000004">
      <c r="A541" s="24">
        <v>19</v>
      </c>
      <c r="B541" s="12" t="s">
        <v>551</v>
      </c>
      <c r="C541" s="5" t="s">
        <v>1093</v>
      </c>
      <c r="D541" s="5" t="s">
        <v>982</v>
      </c>
      <c r="E541" s="4"/>
      <c r="F541" s="4"/>
      <c r="G541" s="4"/>
      <c r="H541" s="4"/>
      <c r="I541" s="4"/>
      <c r="J541" s="4"/>
      <c r="K541" s="4"/>
      <c r="L541" s="4"/>
      <c r="M541" s="4"/>
      <c r="N541" s="4"/>
    </row>
    <row r="542" spans="1:14" x14ac:dyDescent="0.55000000000000004">
      <c r="A542" s="24">
        <v>20</v>
      </c>
      <c r="B542" s="12" t="s">
        <v>552</v>
      </c>
      <c r="C542" s="5" t="s">
        <v>1094</v>
      </c>
      <c r="D542" s="5" t="s">
        <v>982</v>
      </c>
      <c r="E542" s="4"/>
      <c r="F542" s="4"/>
      <c r="G542" s="4"/>
      <c r="H542" s="4"/>
      <c r="I542" s="4"/>
      <c r="J542" s="4"/>
      <c r="K542" s="4"/>
      <c r="L542" s="4"/>
      <c r="M542" s="4"/>
      <c r="N542" s="4"/>
    </row>
    <row r="543" spans="1:14" x14ac:dyDescent="0.55000000000000004">
      <c r="A543" s="24">
        <v>21</v>
      </c>
      <c r="B543" s="12" t="s">
        <v>553</v>
      </c>
      <c r="C543" s="5" t="s">
        <v>1095</v>
      </c>
      <c r="D543" s="5" t="s">
        <v>982</v>
      </c>
      <c r="E543" s="4"/>
      <c r="F543" s="4"/>
      <c r="G543" s="4"/>
      <c r="H543" s="4"/>
      <c r="I543" s="4"/>
      <c r="J543" s="4"/>
      <c r="K543" s="4"/>
      <c r="L543" s="4"/>
      <c r="M543" s="4"/>
      <c r="N543" s="4"/>
    </row>
    <row r="544" spans="1:14" x14ac:dyDescent="0.55000000000000004">
      <c r="A544" s="24">
        <v>22</v>
      </c>
      <c r="B544" s="12" t="s">
        <v>554</v>
      </c>
      <c r="C544" s="5" t="s">
        <v>1096</v>
      </c>
      <c r="D544" s="5" t="s">
        <v>982</v>
      </c>
      <c r="E544" s="4"/>
      <c r="F544" s="4"/>
      <c r="G544" s="4"/>
      <c r="H544" s="4"/>
      <c r="I544" s="4"/>
      <c r="J544" s="4"/>
      <c r="K544" s="4"/>
      <c r="L544" s="4"/>
      <c r="M544" s="4"/>
      <c r="N544" s="4"/>
    </row>
    <row r="545" spans="1:14" x14ac:dyDescent="0.55000000000000004">
      <c r="A545" s="24">
        <v>23</v>
      </c>
      <c r="B545" s="12" t="s">
        <v>555</v>
      </c>
      <c r="C545" s="5" t="s">
        <v>1097</v>
      </c>
      <c r="D545" s="5" t="s">
        <v>982</v>
      </c>
      <c r="E545" s="4"/>
      <c r="F545" s="4"/>
      <c r="G545" s="4"/>
      <c r="H545" s="4"/>
      <c r="I545" s="4"/>
      <c r="J545" s="4"/>
      <c r="K545" s="4"/>
      <c r="L545" s="4"/>
      <c r="M545" s="4"/>
      <c r="N545" s="4"/>
    </row>
    <row r="546" spans="1:14" x14ac:dyDescent="0.55000000000000004">
      <c r="A546" s="24">
        <v>24</v>
      </c>
      <c r="B546" s="12" t="s">
        <v>556</v>
      </c>
      <c r="C546" s="5" t="s">
        <v>1098</v>
      </c>
      <c r="D546" s="5" t="s">
        <v>982</v>
      </c>
      <c r="E546" s="4"/>
      <c r="F546" s="4"/>
      <c r="G546" s="4"/>
      <c r="H546" s="4"/>
      <c r="I546" s="4"/>
      <c r="J546" s="4"/>
      <c r="K546" s="4"/>
      <c r="L546" s="4"/>
      <c r="M546" s="4"/>
      <c r="N546" s="4"/>
    </row>
    <row r="547" spans="1:14" x14ac:dyDescent="0.55000000000000004">
      <c r="A547" s="24">
        <v>25</v>
      </c>
      <c r="B547" s="12" t="s">
        <v>557</v>
      </c>
      <c r="C547" s="5" t="s">
        <v>1099</v>
      </c>
      <c r="D547" s="5" t="s">
        <v>982</v>
      </c>
      <c r="E547" s="4"/>
      <c r="F547" s="4"/>
      <c r="G547" s="4"/>
      <c r="H547" s="4"/>
      <c r="I547" s="4"/>
      <c r="J547" s="4"/>
      <c r="K547" s="4"/>
      <c r="L547" s="4"/>
      <c r="M547" s="4"/>
      <c r="N547" s="4"/>
    </row>
    <row r="548" spans="1:14" x14ac:dyDescent="0.55000000000000004">
      <c r="A548" s="24">
        <v>26</v>
      </c>
      <c r="B548" s="12" t="s">
        <v>558</v>
      </c>
      <c r="C548" s="5" t="s">
        <v>1100</v>
      </c>
      <c r="D548" s="5" t="s">
        <v>982</v>
      </c>
      <c r="E548" s="4"/>
      <c r="F548" s="4"/>
      <c r="G548" s="4"/>
      <c r="H548" s="4"/>
      <c r="I548" s="4"/>
      <c r="J548" s="4"/>
      <c r="K548" s="4"/>
      <c r="L548" s="4"/>
      <c r="M548" s="4"/>
      <c r="N548" s="4"/>
    </row>
    <row r="549" spans="1:14" x14ac:dyDescent="0.55000000000000004">
      <c r="A549" s="24">
        <v>27</v>
      </c>
      <c r="B549" s="12" t="s">
        <v>1498</v>
      </c>
      <c r="C549" s="5" t="s">
        <v>2322</v>
      </c>
      <c r="D549" s="5" t="s">
        <v>982</v>
      </c>
      <c r="E549" s="4"/>
      <c r="F549" s="4"/>
      <c r="G549" s="4"/>
      <c r="H549" s="4"/>
      <c r="I549" s="4"/>
      <c r="J549" s="4"/>
      <c r="K549" s="4"/>
      <c r="L549" s="4"/>
      <c r="M549" s="4"/>
      <c r="N549" s="4"/>
    </row>
    <row r="550" spans="1:14" x14ac:dyDescent="0.55000000000000004">
      <c r="A550" s="24">
        <v>28</v>
      </c>
      <c r="B550" s="12" t="s">
        <v>559</v>
      </c>
      <c r="C550" s="5" t="s">
        <v>1101</v>
      </c>
      <c r="D550" s="5" t="s">
        <v>982</v>
      </c>
      <c r="E550" s="4"/>
      <c r="F550" s="4"/>
      <c r="G550" s="4"/>
      <c r="H550" s="4"/>
      <c r="I550" s="4"/>
      <c r="J550" s="4"/>
      <c r="K550" s="4"/>
      <c r="L550" s="4"/>
      <c r="M550" s="4"/>
      <c r="N550" s="4"/>
    </row>
    <row r="551" spans="1:14" x14ac:dyDescent="0.55000000000000004">
      <c r="A551" s="24">
        <v>29</v>
      </c>
      <c r="B551" s="12" t="s">
        <v>560</v>
      </c>
      <c r="C551" s="5" t="s">
        <v>1102</v>
      </c>
      <c r="D551" s="5" t="s">
        <v>982</v>
      </c>
      <c r="E551" s="4"/>
      <c r="F551" s="4"/>
      <c r="G551" s="4"/>
      <c r="H551" s="4"/>
      <c r="I551" s="4"/>
      <c r="J551" s="4"/>
      <c r="K551" s="4"/>
      <c r="L551" s="4"/>
      <c r="M551" s="4"/>
      <c r="N551" s="4"/>
    </row>
    <row r="552" spans="1:14" x14ac:dyDescent="0.55000000000000004">
      <c r="A552" s="24">
        <v>30</v>
      </c>
      <c r="B552" s="12" t="s">
        <v>561</v>
      </c>
      <c r="C552" s="5" t="s">
        <v>1103</v>
      </c>
      <c r="D552" s="5" t="s">
        <v>982</v>
      </c>
      <c r="E552" s="4"/>
      <c r="F552" s="4"/>
      <c r="G552" s="4"/>
      <c r="H552" s="4"/>
      <c r="I552" s="4"/>
      <c r="J552" s="4"/>
      <c r="K552" s="4"/>
      <c r="L552" s="4"/>
      <c r="M552" s="4"/>
      <c r="N552" s="4"/>
    </row>
    <row r="553" spans="1:14" x14ac:dyDescent="0.55000000000000004">
      <c r="A553" s="24">
        <v>31</v>
      </c>
      <c r="B553" s="12" t="s">
        <v>562</v>
      </c>
      <c r="C553" s="5" t="s">
        <v>1104</v>
      </c>
      <c r="D553" s="5" t="s">
        <v>982</v>
      </c>
      <c r="E553" s="4"/>
      <c r="F553" s="4"/>
      <c r="G553" s="4"/>
      <c r="H553" s="4"/>
      <c r="I553" s="4"/>
      <c r="J553" s="4"/>
      <c r="K553" s="4"/>
      <c r="L553" s="4"/>
      <c r="M553" s="4"/>
      <c r="N553" s="4"/>
    </row>
    <row r="554" spans="1:14" x14ac:dyDescent="0.55000000000000004">
      <c r="A554" s="24">
        <v>32</v>
      </c>
      <c r="B554" s="12" t="s">
        <v>563</v>
      </c>
      <c r="C554" s="5" t="s">
        <v>1105</v>
      </c>
      <c r="D554" s="5" t="s">
        <v>982</v>
      </c>
      <c r="E554" s="4"/>
      <c r="F554" s="4"/>
      <c r="G554" s="4"/>
      <c r="H554" s="4"/>
      <c r="I554" s="4"/>
      <c r="J554" s="4"/>
      <c r="K554" s="4"/>
      <c r="L554" s="4"/>
      <c r="M554" s="4"/>
      <c r="N554" s="4"/>
    </row>
    <row r="555" spans="1:14" x14ac:dyDescent="0.55000000000000004">
      <c r="A555" s="24">
        <v>33</v>
      </c>
      <c r="B555" s="12" t="s">
        <v>564</v>
      </c>
      <c r="C555" s="5" t="s">
        <v>1106</v>
      </c>
      <c r="D555" s="5" t="s">
        <v>982</v>
      </c>
      <c r="E555" s="4"/>
      <c r="F555" s="4"/>
      <c r="G555" s="4"/>
      <c r="H555" s="4"/>
      <c r="I555" s="4"/>
      <c r="J555" s="4"/>
      <c r="K555" s="4"/>
      <c r="L555" s="4"/>
      <c r="M555" s="4"/>
      <c r="N555" s="4"/>
    </row>
    <row r="556" spans="1:14" x14ac:dyDescent="0.55000000000000004">
      <c r="A556" s="24">
        <v>34</v>
      </c>
      <c r="B556" s="12" t="s">
        <v>565</v>
      </c>
      <c r="C556" s="5" t="s">
        <v>1107</v>
      </c>
      <c r="D556" s="5" t="s">
        <v>982</v>
      </c>
      <c r="E556" s="4"/>
      <c r="F556" s="4"/>
      <c r="G556" s="4"/>
      <c r="H556" s="4"/>
      <c r="I556" s="4"/>
      <c r="J556" s="4"/>
      <c r="K556" s="4"/>
      <c r="L556" s="4"/>
      <c r="M556" s="4"/>
      <c r="N556" s="4"/>
    </row>
    <row r="557" spans="1:14" x14ac:dyDescent="0.55000000000000004">
      <c r="A557" s="24">
        <v>35</v>
      </c>
      <c r="B557" s="12" t="s">
        <v>566</v>
      </c>
      <c r="C557" s="5" t="s">
        <v>1108</v>
      </c>
      <c r="D557" s="5" t="s">
        <v>982</v>
      </c>
      <c r="E557" s="4"/>
      <c r="F557" s="4"/>
      <c r="G557" s="4"/>
      <c r="H557" s="4"/>
      <c r="I557" s="4"/>
      <c r="J557" s="4"/>
      <c r="K557" s="4"/>
      <c r="L557" s="4"/>
      <c r="M557" s="4"/>
      <c r="N557" s="4"/>
    </row>
    <row r="558" spans="1:14" x14ac:dyDescent="0.55000000000000004">
      <c r="A558" s="24">
        <v>36</v>
      </c>
      <c r="B558" s="12" t="s">
        <v>567</v>
      </c>
      <c r="C558" s="5" t="s">
        <v>1109</v>
      </c>
      <c r="D558" s="5" t="s">
        <v>982</v>
      </c>
      <c r="E558" s="4"/>
      <c r="F558" s="4"/>
      <c r="G558" s="4"/>
      <c r="H558" s="4"/>
      <c r="I558" s="4"/>
      <c r="J558" s="4"/>
      <c r="K558" s="4"/>
      <c r="L558" s="4"/>
      <c r="M558" s="4"/>
      <c r="N558" s="4"/>
    </row>
    <row r="559" spans="1:14" x14ac:dyDescent="0.55000000000000004">
      <c r="A559" s="24">
        <v>37</v>
      </c>
      <c r="B559" s="12" t="s">
        <v>568</v>
      </c>
      <c r="C559" s="5" t="s">
        <v>1110</v>
      </c>
      <c r="D559" s="5" t="s">
        <v>982</v>
      </c>
      <c r="E559" s="4"/>
      <c r="F559" s="4"/>
      <c r="G559" s="4"/>
      <c r="H559" s="4"/>
      <c r="I559" s="4"/>
      <c r="J559" s="4"/>
      <c r="K559" s="4"/>
      <c r="L559" s="4"/>
      <c r="M559" s="4"/>
      <c r="N559" s="4"/>
    </row>
    <row r="560" spans="1:14" x14ac:dyDescent="0.55000000000000004">
      <c r="A560" s="24">
        <v>38</v>
      </c>
      <c r="B560" s="12" t="s">
        <v>569</v>
      </c>
      <c r="C560" s="5" t="s">
        <v>1111</v>
      </c>
      <c r="D560" s="5" t="s">
        <v>982</v>
      </c>
      <c r="E560" s="4"/>
      <c r="F560" s="4"/>
      <c r="G560" s="4"/>
      <c r="H560" s="4"/>
      <c r="I560" s="4"/>
      <c r="J560" s="4"/>
      <c r="K560" s="4"/>
      <c r="L560" s="4"/>
      <c r="M560" s="4"/>
      <c r="N560" s="4"/>
    </row>
    <row r="561" spans="1:14" x14ac:dyDescent="0.55000000000000004">
      <c r="A561" s="24">
        <v>39</v>
      </c>
      <c r="B561" s="12" t="s">
        <v>570</v>
      </c>
      <c r="C561" s="5" t="s">
        <v>1112</v>
      </c>
      <c r="D561" s="5" t="s">
        <v>982</v>
      </c>
      <c r="E561" s="4"/>
      <c r="F561" s="4"/>
      <c r="G561" s="4"/>
      <c r="H561" s="4"/>
      <c r="I561" s="4"/>
      <c r="J561" s="4"/>
      <c r="K561" s="4"/>
      <c r="L561" s="4"/>
      <c r="M561" s="4"/>
      <c r="N561" s="4"/>
    </row>
    <row r="562" spans="1:14" x14ac:dyDescent="0.55000000000000004">
      <c r="A562" s="24">
        <v>40</v>
      </c>
      <c r="B562" s="12" t="s">
        <v>571</v>
      </c>
      <c r="C562" s="5" t="s">
        <v>1113</v>
      </c>
      <c r="D562" s="5" t="s">
        <v>982</v>
      </c>
      <c r="E562" s="4"/>
      <c r="F562" s="4"/>
      <c r="G562" s="4"/>
      <c r="H562" s="4"/>
      <c r="I562" s="4"/>
      <c r="J562" s="4"/>
      <c r="K562" s="4"/>
      <c r="L562" s="4"/>
      <c r="M562" s="4"/>
      <c r="N562" s="4"/>
    </row>
    <row r="563" spans="1:14" x14ac:dyDescent="0.55000000000000004">
      <c r="A563" s="24">
        <v>41</v>
      </c>
      <c r="B563" s="12" t="s">
        <v>572</v>
      </c>
      <c r="C563" s="5" t="s">
        <v>1114</v>
      </c>
      <c r="D563" s="5" t="s">
        <v>982</v>
      </c>
      <c r="E563" s="4"/>
      <c r="F563" s="4"/>
      <c r="G563" s="4"/>
      <c r="H563" s="4"/>
      <c r="I563" s="4"/>
      <c r="J563" s="4"/>
      <c r="K563" s="4"/>
      <c r="L563" s="4"/>
      <c r="M563" s="4"/>
      <c r="N563" s="4"/>
    </row>
    <row r="564" spans="1:14" x14ac:dyDescent="0.55000000000000004">
      <c r="A564" s="24">
        <v>42</v>
      </c>
      <c r="B564" s="12" t="s">
        <v>573</v>
      </c>
      <c r="C564" s="5" t="s">
        <v>1115</v>
      </c>
      <c r="D564" s="5" t="s">
        <v>982</v>
      </c>
      <c r="E564" s="4"/>
      <c r="F564" s="4"/>
      <c r="G564" s="4"/>
      <c r="H564" s="4"/>
      <c r="I564" s="4"/>
      <c r="J564" s="4"/>
      <c r="K564" s="4"/>
      <c r="L564" s="4"/>
      <c r="M564" s="4"/>
      <c r="N564" s="4"/>
    </row>
    <row r="565" spans="1:14" x14ac:dyDescent="0.55000000000000004">
      <c r="A565" s="24">
        <v>43</v>
      </c>
      <c r="B565" s="12" t="s">
        <v>574</v>
      </c>
      <c r="C565" s="5" t="s">
        <v>1116</v>
      </c>
      <c r="D565" s="5" t="s">
        <v>982</v>
      </c>
      <c r="E565" s="4"/>
      <c r="F565" s="4"/>
      <c r="G565" s="4"/>
      <c r="H565" s="4"/>
      <c r="I565" s="4"/>
      <c r="J565" s="4"/>
      <c r="K565" s="4"/>
      <c r="L565" s="4"/>
      <c r="M565" s="4"/>
      <c r="N565" s="4"/>
    </row>
    <row r="566" spans="1:14" x14ac:dyDescent="0.55000000000000004">
      <c r="A566" s="24">
        <v>44</v>
      </c>
      <c r="B566" s="12" t="s">
        <v>575</v>
      </c>
      <c r="C566" s="5" t="s">
        <v>1117</v>
      </c>
      <c r="D566" s="5" t="s">
        <v>982</v>
      </c>
      <c r="E566" s="4"/>
      <c r="F566" s="4"/>
      <c r="G566" s="4"/>
      <c r="H566" s="4"/>
      <c r="I566" s="4"/>
      <c r="J566" s="4"/>
      <c r="K566" s="4"/>
      <c r="L566" s="4"/>
      <c r="M566" s="4"/>
      <c r="N566" s="4"/>
    </row>
    <row r="567" spans="1:14" x14ac:dyDescent="0.55000000000000004">
      <c r="A567" s="24">
        <v>45</v>
      </c>
      <c r="B567" s="12" t="s">
        <v>576</v>
      </c>
      <c r="C567" s="5" t="s">
        <v>1118</v>
      </c>
      <c r="D567" s="5" t="s">
        <v>982</v>
      </c>
      <c r="E567" s="4"/>
      <c r="F567" s="4"/>
      <c r="G567" s="4"/>
      <c r="H567" s="4"/>
      <c r="I567" s="4"/>
      <c r="J567" s="4"/>
      <c r="K567" s="4"/>
      <c r="L567" s="4"/>
      <c r="M567" s="4"/>
      <c r="N567" s="4"/>
    </row>
    <row r="568" spans="1:14" x14ac:dyDescent="0.55000000000000004">
      <c r="A568" s="24">
        <v>46</v>
      </c>
      <c r="B568" s="12" t="s">
        <v>577</v>
      </c>
      <c r="C568" s="5" t="s">
        <v>1119</v>
      </c>
      <c r="D568" s="5" t="s">
        <v>982</v>
      </c>
      <c r="E568" s="4"/>
      <c r="F568" s="4"/>
      <c r="G568" s="4"/>
      <c r="H568" s="4"/>
      <c r="I568" s="4"/>
      <c r="J568" s="4"/>
      <c r="K568" s="4"/>
      <c r="L568" s="4"/>
      <c r="M568" s="4"/>
      <c r="N568" s="4"/>
    </row>
    <row r="569" spans="1:14" x14ac:dyDescent="0.55000000000000004">
      <c r="A569" s="24">
        <v>47</v>
      </c>
      <c r="B569" s="12" t="s">
        <v>578</v>
      </c>
      <c r="C569" s="5" t="s">
        <v>1120</v>
      </c>
      <c r="D569" s="5" t="s">
        <v>982</v>
      </c>
      <c r="E569" s="4"/>
      <c r="F569" s="4"/>
      <c r="G569" s="4"/>
      <c r="H569" s="4"/>
      <c r="I569" s="4"/>
      <c r="J569" s="4"/>
      <c r="K569" s="4"/>
      <c r="L569" s="4"/>
      <c r="M569" s="4"/>
      <c r="N569" s="4"/>
    </row>
    <row r="570" spans="1:14" x14ac:dyDescent="0.55000000000000004">
      <c r="A570" s="24">
        <v>48</v>
      </c>
      <c r="B570" s="12" t="s">
        <v>579</v>
      </c>
      <c r="C570" s="5" t="s">
        <v>1121</v>
      </c>
      <c r="D570" s="5" t="s">
        <v>982</v>
      </c>
      <c r="E570" s="4"/>
      <c r="F570" s="4"/>
      <c r="G570" s="4"/>
      <c r="H570" s="4"/>
      <c r="I570" s="4"/>
      <c r="J570" s="4"/>
      <c r="K570" s="4"/>
      <c r="L570" s="4"/>
      <c r="M570" s="4"/>
      <c r="N570" s="4"/>
    </row>
    <row r="571" spans="1:14" x14ac:dyDescent="0.55000000000000004">
      <c r="A571" s="24">
        <v>49</v>
      </c>
      <c r="B571" s="12" t="s">
        <v>580</v>
      </c>
      <c r="C571" s="5" t="s">
        <v>1122</v>
      </c>
      <c r="D571" s="5" t="s">
        <v>982</v>
      </c>
      <c r="E571" s="5"/>
      <c r="F571" s="4"/>
      <c r="G571" s="4"/>
      <c r="H571" s="4"/>
      <c r="I571" s="4"/>
      <c r="J571" s="4"/>
      <c r="K571" s="4"/>
      <c r="L571" s="4"/>
      <c r="M571" s="4"/>
      <c r="N571" s="4"/>
    </row>
    <row r="572" spans="1:14" x14ac:dyDescent="0.55000000000000004">
      <c r="A572" s="24">
        <v>50</v>
      </c>
      <c r="B572" s="12" t="s">
        <v>581</v>
      </c>
      <c r="C572" s="5" t="s">
        <v>1123</v>
      </c>
      <c r="D572" s="5" t="s">
        <v>982</v>
      </c>
      <c r="E572" s="4"/>
      <c r="F572" s="4"/>
      <c r="G572" s="4"/>
      <c r="H572" s="4"/>
      <c r="I572" s="4"/>
      <c r="J572" s="4"/>
      <c r="K572" s="4"/>
      <c r="L572" s="4"/>
      <c r="M572" s="4"/>
      <c r="N572" s="4"/>
    </row>
    <row r="573" spans="1:14" x14ac:dyDescent="0.55000000000000004">
      <c r="A573" s="24">
        <v>51</v>
      </c>
      <c r="B573" s="12" t="s">
        <v>582</v>
      </c>
      <c r="C573" s="5" t="s">
        <v>1124</v>
      </c>
      <c r="D573" s="5" t="s">
        <v>982</v>
      </c>
      <c r="E573" s="4"/>
      <c r="F573" s="4"/>
      <c r="G573" s="4"/>
      <c r="H573" s="4"/>
      <c r="I573" s="4"/>
      <c r="J573" s="4"/>
      <c r="K573" s="4"/>
      <c r="L573" s="4"/>
      <c r="M573" s="4"/>
      <c r="N573" s="4"/>
    </row>
    <row r="574" spans="1:14" x14ac:dyDescent="0.55000000000000004">
      <c r="A574" s="24">
        <v>52</v>
      </c>
      <c r="B574" s="12" t="s">
        <v>583</v>
      </c>
      <c r="C574" s="5" t="s">
        <v>1125</v>
      </c>
      <c r="D574" s="5" t="s">
        <v>982</v>
      </c>
      <c r="E574" s="5"/>
      <c r="F574" s="4"/>
      <c r="G574" s="4"/>
      <c r="H574" s="4"/>
      <c r="I574" s="4"/>
      <c r="J574" s="4"/>
      <c r="K574" s="4"/>
      <c r="L574" s="4"/>
      <c r="M574" s="4"/>
      <c r="N574" s="4"/>
    </row>
    <row r="575" spans="1:14" x14ac:dyDescent="0.55000000000000004">
      <c r="A575" s="24">
        <v>53</v>
      </c>
      <c r="B575" s="12" t="s">
        <v>584</v>
      </c>
      <c r="C575" s="5" t="s">
        <v>1126</v>
      </c>
      <c r="D575" s="5" t="s">
        <v>982</v>
      </c>
      <c r="E575" s="4"/>
      <c r="F575" s="4"/>
      <c r="G575" s="4"/>
      <c r="H575" s="4"/>
      <c r="I575" s="4"/>
      <c r="J575" s="4"/>
      <c r="K575" s="4"/>
      <c r="L575" s="4"/>
      <c r="M575" s="4"/>
      <c r="N575" s="4"/>
    </row>
    <row r="576" spans="1:14" x14ac:dyDescent="0.55000000000000004">
      <c r="A576" s="24">
        <v>54</v>
      </c>
      <c r="B576" s="12" t="s">
        <v>585</v>
      </c>
      <c r="C576" s="5" t="s">
        <v>1127</v>
      </c>
      <c r="D576" s="5" t="s">
        <v>982</v>
      </c>
      <c r="E576" s="4"/>
      <c r="F576" s="4"/>
      <c r="G576" s="4"/>
      <c r="H576" s="4"/>
      <c r="I576" s="4"/>
      <c r="J576" s="4"/>
      <c r="K576" s="4"/>
      <c r="L576" s="4"/>
      <c r="M576" s="4"/>
      <c r="N576" s="4"/>
    </row>
    <row r="577" spans="1:14" x14ac:dyDescent="0.55000000000000004">
      <c r="A577" s="24">
        <v>55</v>
      </c>
      <c r="B577" s="12" t="s">
        <v>586</v>
      </c>
      <c r="C577" s="5" t="s">
        <v>1129</v>
      </c>
      <c r="D577" s="5" t="s">
        <v>982</v>
      </c>
      <c r="E577" s="5"/>
      <c r="F577" s="4"/>
      <c r="G577" s="4"/>
      <c r="H577" s="4"/>
      <c r="I577" s="4"/>
      <c r="J577" s="4"/>
      <c r="K577" s="4"/>
      <c r="L577" s="4"/>
      <c r="M577" s="4"/>
      <c r="N577" s="4"/>
    </row>
    <row r="578" spans="1:14" x14ac:dyDescent="0.55000000000000004">
      <c r="A578" s="24">
        <v>56</v>
      </c>
      <c r="B578" s="12" t="s">
        <v>587</v>
      </c>
      <c r="C578" s="5" t="s">
        <v>1128</v>
      </c>
      <c r="D578" s="5" t="s">
        <v>982</v>
      </c>
      <c r="E578" s="4"/>
      <c r="F578" s="4"/>
      <c r="G578" s="4"/>
      <c r="H578" s="4"/>
      <c r="I578" s="4"/>
      <c r="J578" s="4"/>
      <c r="K578" s="4"/>
      <c r="L578" s="4"/>
      <c r="M578" s="4"/>
      <c r="N578" s="4"/>
    </row>
    <row r="579" spans="1:14" x14ac:dyDescent="0.55000000000000004">
      <c r="A579" s="24">
        <v>57</v>
      </c>
      <c r="B579" s="12" t="s">
        <v>588</v>
      </c>
      <c r="C579" s="5" t="s">
        <v>1130</v>
      </c>
      <c r="D579" s="5" t="s">
        <v>982</v>
      </c>
      <c r="E579" s="4"/>
      <c r="F579" s="4"/>
      <c r="G579" s="4"/>
      <c r="H579" s="4"/>
      <c r="I579" s="4"/>
      <c r="J579" s="4"/>
      <c r="K579" s="4"/>
      <c r="L579" s="4"/>
      <c r="M579" s="4"/>
      <c r="N579" s="4"/>
    </row>
    <row r="580" spans="1:14" x14ac:dyDescent="0.55000000000000004">
      <c r="A580" s="24">
        <v>58</v>
      </c>
      <c r="B580" s="12" t="s">
        <v>589</v>
      </c>
      <c r="C580" s="5" t="s">
        <v>1131</v>
      </c>
      <c r="D580" s="5" t="s">
        <v>982</v>
      </c>
      <c r="E580" s="5"/>
      <c r="F580" s="4"/>
      <c r="G580" s="4"/>
      <c r="H580" s="4"/>
      <c r="I580" s="4"/>
      <c r="J580" s="4"/>
      <c r="K580" s="4"/>
      <c r="L580" s="4"/>
      <c r="M580" s="4"/>
      <c r="N580" s="4"/>
    </row>
    <row r="581" spans="1:14" x14ac:dyDescent="0.55000000000000004">
      <c r="A581" s="24">
        <v>59</v>
      </c>
      <c r="B581" s="12" t="s">
        <v>590</v>
      </c>
      <c r="C581" s="5" t="s">
        <v>1132</v>
      </c>
      <c r="D581" s="5" t="s">
        <v>982</v>
      </c>
      <c r="E581" s="5"/>
      <c r="F581" s="4"/>
      <c r="G581" s="4"/>
      <c r="H581" s="4"/>
      <c r="I581" s="4"/>
      <c r="J581" s="4"/>
      <c r="K581" s="4"/>
      <c r="L581" s="4"/>
      <c r="M581" s="4"/>
      <c r="N581" s="4"/>
    </row>
    <row r="582" spans="1:14" x14ac:dyDescent="0.55000000000000004">
      <c r="A582" s="24">
        <v>60</v>
      </c>
      <c r="B582" s="12" t="s">
        <v>591</v>
      </c>
      <c r="C582" s="5" t="s">
        <v>1133</v>
      </c>
      <c r="D582" s="5" t="s">
        <v>982</v>
      </c>
      <c r="E582" s="5"/>
      <c r="F582" s="4"/>
      <c r="G582" s="4"/>
      <c r="H582" s="4"/>
      <c r="I582" s="4"/>
      <c r="J582" s="4"/>
      <c r="K582" s="4"/>
      <c r="L582" s="4"/>
      <c r="M582" s="4"/>
      <c r="N582" s="4"/>
    </row>
    <row r="583" spans="1:14" x14ac:dyDescent="0.55000000000000004">
      <c r="A583" s="24">
        <v>61</v>
      </c>
      <c r="B583" s="12" t="s">
        <v>592</v>
      </c>
      <c r="C583" s="5" t="s">
        <v>1134</v>
      </c>
      <c r="D583" s="5" t="s">
        <v>982</v>
      </c>
      <c r="E583" s="5"/>
      <c r="F583" s="4"/>
      <c r="G583" s="4"/>
      <c r="H583" s="4"/>
      <c r="I583" s="4"/>
      <c r="J583" s="4"/>
      <c r="K583" s="4"/>
      <c r="L583" s="4"/>
      <c r="M583" s="4"/>
      <c r="N583" s="4"/>
    </row>
    <row r="584" spans="1:14" x14ac:dyDescent="0.55000000000000004">
      <c r="A584" s="24">
        <v>62</v>
      </c>
      <c r="B584" s="12" t="s">
        <v>593</v>
      </c>
      <c r="C584" s="5" t="s">
        <v>1135</v>
      </c>
      <c r="D584" s="5" t="s">
        <v>982</v>
      </c>
      <c r="E584" s="5"/>
      <c r="F584" s="4"/>
      <c r="G584" s="4"/>
      <c r="H584" s="4"/>
      <c r="I584" s="4"/>
      <c r="J584" s="4"/>
      <c r="K584" s="4"/>
      <c r="L584" s="4"/>
      <c r="M584" s="4"/>
      <c r="N584" s="4"/>
    </row>
    <row r="585" spans="1:14" x14ac:dyDescent="0.55000000000000004">
      <c r="A585" s="24">
        <v>63</v>
      </c>
      <c r="B585" s="12" t="s">
        <v>594</v>
      </c>
      <c r="C585" s="5" t="s">
        <v>1136</v>
      </c>
      <c r="D585" s="5" t="s">
        <v>982</v>
      </c>
      <c r="E585" s="5"/>
      <c r="F585" s="4"/>
      <c r="G585" s="4"/>
      <c r="H585" s="4"/>
      <c r="I585" s="4"/>
      <c r="J585" s="4"/>
      <c r="K585" s="4"/>
      <c r="L585" s="4"/>
      <c r="M585" s="4"/>
      <c r="N585" s="4"/>
    </row>
    <row r="586" spans="1:14" x14ac:dyDescent="0.55000000000000004">
      <c r="A586" s="24">
        <v>64</v>
      </c>
      <c r="B586" s="12" t="s">
        <v>595</v>
      </c>
      <c r="C586" s="5" t="s">
        <v>1137</v>
      </c>
      <c r="D586" s="5" t="s">
        <v>982</v>
      </c>
      <c r="E586" s="5"/>
      <c r="F586" s="4"/>
      <c r="G586" s="4"/>
      <c r="H586" s="4"/>
      <c r="I586" s="4"/>
      <c r="J586" s="4"/>
      <c r="K586" s="4"/>
      <c r="L586" s="4"/>
      <c r="M586" s="4"/>
      <c r="N586" s="4"/>
    </row>
    <row r="587" spans="1:14" x14ac:dyDescent="0.55000000000000004">
      <c r="A587" s="24">
        <v>65</v>
      </c>
      <c r="B587" s="12" t="s">
        <v>596</v>
      </c>
      <c r="C587" s="5" t="s">
        <v>1138</v>
      </c>
      <c r="D587" s="5" t="s">
        <v>982</v>
      </c>
      <c r="E587" s="5"/>
      <c r="F587" s="4"/>
      <c r="G587" s="4"/>
      <c r="H587" s="4"/>
      <c r="I587" s="4"/>
      <c r="J587" s="4"/>
      <c r="K587" s="4"/>
      <c r="L587" s="4"/>
      <c r="M587" s="4"/>
      <c r="N587" s="4"/>
    </row>
    <row r="588" spans="1:14" x14ac:dyDescent="0.55000000000000004">
      <c r="A588" s="24">
        <v>66</v>
      </c>
      <c r="B588" s="12" t="s">
        <v>597</v>
      </c>
      <c r="C588" s="5" t="s">
        <v>1139</v>
      </c>
      <c r="D588" s="5" t="s">
        <v>982</v>
      </c>
      <c r="E588" s="4"/>
      <c r="F588" s="4"/>
      <c r="G588" s="4"/>
      <c r="H588" s="4"/>
      <c r="I588" s="4"/>
      <c r="J588" s="4"/>
      <c r="K588" s="4"/>
      <c r="L588" s="4"/>
      <c r="M588" s="4"/>
      <c r="N588" s="4"/>
    </row>
    <row r="589" spans="1:14" x14ac:dyDescent="0.55000000000000004">
      <c r="A589" s="24">
        <v>67</v>
      </c>
      <c r="B589" s="12" t="s">
        <v>598</v>
      </c>
      <c r="C589" s="5" t="s">
        <v>1140</v>
      </c>
      <c r="D589" s="5" t="s">
        <v>982</v>
      </c>
      <c r="E589" s="4"/>
      <c r="F589" s="4"/>
      <c r="G589" s="4"/>
      <c r="H589" s="4"/>
      <c r="I589" s="4"/>
      <c r="J589" s="4"/>
      <c r="K589" s="4"/>
      <c r="L589" s="4"/>
      <c r="M589" s="4"/>
      <c r="N589" s="4"/>
    </row>
    <row r="590" spans="1:14" x14ac:dyDescent="0.55000000000000004">
      <c r="A590" s="24">
        <v>68</v>
      </c>
      <c r="B590" s="12" t="s">
        <v>599</v>
      </c>
      <c r="C590" s="5" t="s">
        <v>1141</v>
      </c>
      <c r="D590" s="5" t="s">
        <v>982</v>
      </c>
      <c r="E590" s="5"/>
      <c r="F590" s="4"/>
      <c r="G590" s="4"/>
      <c r="H590" s="4"/>
      <c r="I590" s="4"/>
      <c r="J590" s="4"/>
      <c r="K590" s="4"/>
      <c r="L590" s="4"/>
      <c r="M590" s="4"/>
      <c r="N590" s="4"/>
    </row>
    <row r="591" spans="1:14" x14ac:dyDescent="0.55000000000000004">
      <c r="A591" s="24">
        <v>69</v>
      </c>
      <c r="B591" s="12" t="s">
        <v>600</v>
      </c>
      <c r="C591" s="5" t="s">
        <v>1142</v>
      </c>
      <c r="D591" s="5" t="s">
        <v>982</v>
      </c>
      <c r="E591" s="5"/>
      <c r="F591" s="4"/>
      <c r="G591" s="4"/>
      <c r="H591" s="4"/>
      <c r="I591" s="4"/>
      <c r="J591" s="4"/>
      <c r="K591" s="4"/>
      <c r="L591" s="4"/>
      <c r="M591" s="4"/>
      <c r="N591" s="4"/>
    </row>
    <row r="592" spans="1:14" x14ac:dyDescent="0.55000000000000004">
      <c r="A592" s="24">
        <v>70</v>
      </c>
      <c r="B592" s="12" t="s">
        <v>601</v>
      </c>
      <c r="C592" s="5" t="s">
        <v>1143</v>
      </c>
      <c r="D592" s="5" t="s">
        <v>982</v>
      </c>
      <c r="E592" s="5"/>
      <c r="F592" s="4"/>
      <c r="G592" s="4"/>
      <c r="H592" s="4"/>
      <c r="I592" s="4"/>
      <c r="J592" s="4"/>
      <c r="K592" s="4"/>
      <c r="L592" s="4"/>
      <c r="M592" s="4"/>
      <c r="N592" s="4"/>
    </row>
    <row r="593" spans="1:14" x14ac:dyDescent="0.55000000000000004">
      <c r="A593" s="24">
        <v>71</v>
      </c>
      <c r="B593" s="12" t="s">
        <v>602</v>
      </c>
      <c r="C593" s="5" t="s">
        <v>1144</v>
      </c>
      <c r="D593" s="5" t="s">
        <v>982</v>
      </c>
      <c r="E593" s="5"/>
      <c r="F593" s="4"/>
      <c r="G593" s="4"/>
      <c r="H593" s="4"/>
      <c r="I593" s="4"/>
      <c r="J593" s="4"/>
      <c r="K593" s="4"/>
      <c r="L593" s="4"/>
      <c r="M593" s="4"/>
      <c r="N593" s="4"/>
    </row>
    <row r="594" spans="1:14" x14ac:dyDescent="0.55000000000000004">
      <c r="A594" s="24">
        <v>72</v>
      </c>
      <c r="B594" s="12" t="s">
        <v>603</v>
      </c>
      <c r="C594" s="5" t="s">
        <v>1145</v>
      </c>
      <c r="D594" s="5" t="s">
        <v>982</v>
      </c>
      <c r="E594" s="4"/>
      <c r="F594" s="4"/>
      <c r="G594" s="4"/>
      <c r="H594" s="4"/>
      <c r="I594" s="4"/>
      <c r="J594" s="4"/>
      <c r="K594" s="4"/>
      <c r="L594" s="4"/>
      <c r="M594" s="4"/>
      <c r="N594" s="4"/>
    </row>
    <row r="595" spans="1:14" x14ac:dyDescent="0.55000000000000004">
      <c r="B595" s="15"/>
      <c r="C595" s="4" t="s">
        <v>458</v>
      </c>
      <c r="D595" s="4"/>
      <c r="E595" s="4"/>
      <c r="F595" s="4"/>
      <c r="G595" s="4"/>
      <c r="H595" s="4"/>
      <c r="I595" s="4"/>
      <c r="J595" s="4"/>
      <c r="K595" s="4"/>
      <c r="L595" s="4"/>
      <c r="M595" s="4"/>
      <c r="N595" s="4"/>
    </row>
    <row r="596" spans="1:14" x14ac:dyDescent="0.55000000000000004">
      <c r="B596" s="61" t="s">
        <v>71</v>
      </c>
      <c r="C596" s="4" t="s">
        <v>82</v>
      </c>
      <c r="D596" s="4" t="s">
        <v>83</v>
      </c>
      <c r="E596" s="4" t="s">
        <v>84</v>
      </c>
      <c r="F596" s="4" t="s">
        <v>85</v>
      </c>
      <c r="G596" s="4" t="s">
        <v>86</v>
      </c>
      <c r="H596" s="4" t="s">
        <v>87</v>
      </c>
      <c r="I596" s="4" t="s">
        <v>88</v>
      </c>
      <c r="J596" s="4" t="s">
        <v>89</v>
      </c>
      <c r="K596" s="4" t="s">
        <v>93</v>
      </c>
      <c r="L596" s="4" t="s">
        <v>94</v>
      </c>
      <c r="M596" s="4"/>
      <c r="N596" s="4"/>
    </row>
    <row r="597" spans="1:14" x14ac:dyDescent="0.55000000000000004">
      <c r="B597" s="9" t="s">
        <v>437</v>
      </c>
      <c r="C597" s="5">
        <v>0.45</v>
      </c>
      <c r="D597" s="5"/>
      <c r="E597" s="5"/>
      <c r="F597" s="4"/>
      <c r="G597" s="4"/>
      <c r="H597" s="4"/>
      <c r="I597" s="4"/>
      <c r="J597" s="4"/>
      <c r="K597" s="4"/>
      <c r="L597" s="4"/>
      <c r="M597" s="4"/>
      <c r="N597" s="4"/>
    </row>
    <row r="598" spans="1:14" x14ac:dyDescent="0.55000000000000004">
      <c r="B598" s="9" t="s">
        <v>438</v>
      </c>
      <c r="C598" s="5">
        <v>0.01</v>
      </c>
      <c r="D598" s="5"/>
      <c r="E598" s="5"/>
      <c r="F598" s="4"/>
      <c r="G598" s="4"/>
      <c r="H598" s="4"/>
      <c r="I598" s="4"/>
      <c r="J598" s="4"/>
      <c r="K598" s="4"/>
      <c r="L598" s="4"/>
      <c r="M598" s="4"/>
      <c r="N598" s="4"/>
    </row>
    <row r="599" spans="1:14" x14ac:dyDescent="0.55000000000000004">
      <c r="B599" s="9" t="s">
        <v>439</v>
      </c>
      <c r="C599" s="5">
        <v>0.4</v>
      </c>
      <c r="D599" s="5"/>
      <c r="E599" s="5"/>
      <c r="F599" s="4"/>
      <c r="G599" s="4"/>
      <c r="H599" s="4"/>
      <c r="I599" s="4"/>
      <c r="J599" s="4"/>
      <c r="K599" s="4"/>
      <c r="L599" s="4"/>
      <c r="M599" s="4"/>
      <c r="N599" s="4"/>
    </row>
    <row r="600" spans="1:14" x14ac:dyDescent="0.55000000000000004">
      <c r="B600" s="9" t="s">
        <v>280</v>
      </c>
      <c r="C600" s="5">
        <v>0.45</v>
      </c>
      <c r="D600" s="4"/>
      <c r="E600" s="4"/>
      <c r="F600" s="4"/>
      <c r="G600" s="4"/>
      <c r="H600" s="4"/>
      <c r="I600" s="4"/>
      <c r="J600" s="4"/>
      <c r="K600" s="4"/>
      <c r="L600" s="4"/>
      <c r="M600" s="4"/>
      <c r="N600" s="4"/>
    </row>
    <row r="601" spans="1:14" x14ac:dyDescent="0.55000000000000004">
      <c r="B601" s="9" t="s">
        <v>820</v>
      </c>
      <c r="C601" s="5" t="s">
        <v>982</v>
      </c>
      <c r="D601" s="4"/>
      <c r="E601" s="4"/>
      <c r="F601" s="4"/>
      <c r="G601" s="4"/>
      <c r="H601" s="4"/>
      <c r="I601" s="4"/>
      <c r="J601" s="4"/>
      <c r="K601" s="4"/>
      <c r="L601" s="4"/>
      <c r="M601" s="4"/>
      <c r="N601" s="4"/>
    </row>
    <row r="602" spans="1:14" x14ac:dyDescent="0.55000000000000004">
      <c r="B602" s="9" t="s">
        <v>821</v>
      </c>
      <c r="C602" s="5" t="s">
        <v>982</v>
      </c>
      <c r="D602" s="5"/>
      <c r="E602" s="5"/>
      <c r="F602" s="4"/>
      <c r="G602" s="4"/>
      <c r="H602" s="4"/>
      <c r="I602" s="4"/>
      <c r="J602" s="4"/>
      <c r="K602" s="4"/>
      <c r="L602" s="4"/>
      <c r="M602" s="4"/>
      <c r="N602" s="4"/>
    </row>
    <row r="603" spans="1:14" x14ac:dyDescent="0.55000000000000004">
      <c r="B603" s="16"/>
      <c r="C603" s="4" t="s">
        <v>458</v>
      </c>
      <c r="D603" s="4"/>
      <c r="E603" s="4"/>
      <c r="F603" s="4"/>
      <c r="G603" s="4"/>
      <c r="H603" s="4"/>
      <c r="I603" s="4"/>
      <c r="J603" s="4"/>
      <c r="K603" s="4"/>
      <c r="L603" s="4"/>
      <c r="M603" s="4"/>
      <c r="N603" s="4"/>
    </row>
    <row r="604" spans="1:14" x14ac:dyDescent="0.55000000000000004">
      <c r="B604" s="61" t="s">
        <v>275</v>
      </c>
      <c r="C604" s="4" t="s">
        <v>136</v>
      </c>
      <c r="D604" s="4" t="s">
        <v>137</v>
      </c>
      <c r="E604" s="4" t="s">
        <v>138</v>
      </c>
      <c r="F604" s="4" t="s">
        <v>139</v>
      </c>
      <c r="G604" s="4" t="s">
        <v>140</v>
      </c>
      <c r="H604" s="4" t="s">
        <v>141</v>
      </c>
      <c r="I604" s="4" t="s">
        <v>142</v>
      </c>
      <c r="J604" s="4" t="s">
        <v>143</v>
      </c>
      <c r="K604" s="4" t="s">
        <v>144</v>
      </c>
      <c r="L604" s="4" t="s">
        <v>145</v>
      </c>
      <c r="M604" s="4"/>
      <c r="N604" s="4"/>
    </row>
    <row r="605" spans="1:14" x14ac:dyDescent="0.55000000000000004">
      <c r="B605" s="9" t="s">
        <v>440</v>
      </c>
      <c r="C605" s="5">
        <v>0.1</v>
      </c>
      <c r="D605" s="5">
        <v>0</v>
      </c>
      <c r="E605" s="5">
        <v>0</v>
      </c>
      <c r="F605" s="4"/>
      <c r="G605" s="4"/>
      <c r="H605" s="4"/>
      <c r="I605" s="4"/>
      <c r="J605" s="4"/>
      <c r="K605" s="4"/>
      <c r="L605" s="4"/>
      <c r="M605" s="4"/>
      <c r="N605" s="4"/>
    </row>
    <row r="606" spans="1:14" x14ac:dyDescent="0.55000000000000004">
      <c r="B606" s="16"/>
      <c r="C606" s="4" t="s">
        <v>458</v>
      </c>
      <c r="D606" s="4"/>
      <c r="E606" s="4"/>
      <c r="F606" s="4"/>
      <c r="G606" s="4"/>
      <c r="H606" s="4"/>
      <c r="I606" s="4"/>
      <c r="J606" s="4"/>
      <c r="K606" s="4"/>
      <c r="L606" s="4"/>
      <c r="M606" s="4"/>
      <c r="N606" s="4"/>
    </row>
    <row r="607" spans="1:14" x14ac:dyDescent="0.55000000000000004">
      <c r="B607" s="61" t="s">
        <v>276</v>
      </c>
      <c r="C607" s="4" t="s">
        <v>146</v>
      </c>
      <c r="D607" s="4" t="s">
        <v>951</v>
      </c>
      <c r="E607" s="4" t="s">
        <v>952</v>
      </c>
      <c r="F607" s="4" t="s">
        <v>953</v>
      </c>
      <c r="G607" s="4" t="s">
        <v>954</v>
      </c>
      <c r="H607" s="4" t="s">
        <v>955</v>
      </c>
      <c r="I607" s="4" t="s">
        <v>956</v>
      </c>
      <c r="J607" s="4" t="s">
        <v>957</v>
      </c>
      <c r="K607" s="4" t="s">
        <v>958</v>
      </c>
      <c r="L607" s="4" t="s">
        <v>959</v>
      </c>
      <c r="M607" s="4"/>
      <c r="N607" s="4"/>
    </row>
    <row r="608" spans="1:14" x14ac:dyDescent="0.55000000000000004">
      <c r="B608" s="9" t="s">
        <v>441</v>
      </c>
      <c r="C608" s="5">
        <v>0.2</v>
      </c>
      <c r="D608" s="5"/>
      <c r="E608" s="5"/>
      <c r="F608" s="4"/>
      <c r="G608" s="4"/>
      <c r="H608" s="4"/>
      <c r="I608" s="4"/>
      <c r="J608" s="4"/>
      <c r="K608" s="4"/>
      <c r="L608" s="4"/>
      <c r="M608" s="4"/>
      <c r="N608" s="4"/>
    </row>
    <row r="609" spans="1:14" x14ac:dyDescent="0.55000000000000004">
      <c r="B609" s="16"/>
      <c r="C609" s="4" t="s">
        <v>458</v>
      </c>
      <c r="D609" s="4"/>
      <c r="E609" s="4"/>
      <c r="F609" s="4"/>
      <c r="G609" s="4"/>
      <c r="H609" s="4"/>
      <c r="I609" s="4"/>
      <c r="J609" s="4"/>
      <c r="K609" s="4"/>
      <c r="L609" s="4"/>
      <c r="M609" s="4"/>
      <c r="N609" s="4"/>
    </row>
    <row r="610" spans="1:14" x14ac:dyDescent="0.55000000000000004">
      <c r="B610" s="61" t="s">
        <v>277</v>
      </c>
      <c r="C610" s="4" t="s">
        <v>147</v>
      </c>
      <c r="D610" s="4" t="s">
        <v>148</v>
      </c>
      <c r="E610" s="4" t="s">
        <v>149</v>
      </c>
      <c r="F610" s="4" t="s">
        <v>150</v>
      </c>
      <c r="G610" s="4" t="s">
        <v>151</v>
      </c>
      <c r="H610" s="4" t="s">
        <v>152</v>
      </c>
      <c r="I610" s="4" t="s">
        <v>1146</v>
      </c>
      <c r="J610" s="4"/>
      <c r="K610" s="4"/>
      <c r="L610" s="4"/>
      <c r="M610" s="4"/>
      <c r="N610" s="4"/>
    </row>
    <row r="611" spans="1:14" x14ac:dyDescent="0.55000000000000004">
      <c r="B611" s="9" t="s">
        <v>442</v>
      </c>
      <c r="C611" s="5">
        <v>0.01</v>
      </c>
      <c r="D611" s="4"/>
      <c r="E611" s="4"/>
      <c r="F611" s="4"/>
      <c r="G611" s="4"/>
      <c r="H611" s="4"/>
      <c r="I611" s="4"/>
      <c r="J611" s="4"/>
      <c r="K611" s="4"/>
      <c r="L611" s="4"/>
      <c r="M611" s="4"/>
      <c r="N611" s="4"/>
    </row>
    <row r="612" spans="1:14" x14ac:dyDescent="0.55000000000000004">
      <c r="B612" s="16"/>
      <c r="C612" s="4" t="s">
        <v>458</v>
      </c>
      <c r="D612" s="4"/>
      <c r="E612" s="4"/>
      <c r="F612" s="4"/>
      <c r="G612" s="4"/>
      <c r="H612" s="4"/>
      <c r="I612" s="4"/>
      <c r="J612" s="4"/>
      <c r="K612" s="4"/>
      <c r="L612" s="4"/>
      <c r="M612" s="4"/>
      <c r="N612" s="4"/>
    </row>
    <row r="613" spans="1:14" x14ac:dyDescent="0.55000000000000004">
      <c r="B613" s="61" t="s">
        <v>278</v>
      </c>
      <c r="C613" s="4" t="s">
        <v>1147</v>
      </c>
      <c r="D613" s="4" t="s">
        <v>1148</v>
      </c>
      <c r="E613" s="4" t="s">
        <v>1149</v>
      </c>
      <c r="F613" s="4" t="s">
        <v>1150</v>
      </c>
      <c r="G613" s="4" t="s">
        <v>1151</v>
      </c>
      <c r="H613" s="4" t="s">
        <v>153</v>
      </c>
      <c r="I613" s="4" t="s">
        <v>154</v>
      </c>
      <c r="J613" s="4" t="s">
        <v>155</v>
      </c>
      <c r="K613" s="4" t="s">
        <v>156</v>
      </c>
      <c r="L613" s="4" t="s">
        <v>2323</v>
      </c>
      <c r="M613" s="4" t="s">
        <v>2324</v>
      </c>
      <c r="N613" s="4" t="s">
        <v>2325</v>
      </c>
    </row>
    <row r="614" spans="1:14" x14ac:dyDescent="0.55000000000000004">
      <c r="B614" s="9" t="s">
        <v>1220</v>
      </c>
      <c r="C614" s="5">
        <v>0</v>
      </c>
      <c r="D614" s="5">
        <v>0</v>
      </c>
      <c r="E614" s="5">
        <v>1.04</v>
      </c>
      <c r="F614" s="5">
        <v>0</v>
      </c>
      <c r="G614" s="5">
        <v>0</v>
      </c>
      <c r="H614" s="4"/>
      <c r="I614" s="4"/>
      <c r="J614" s="4"/>
      <c r="K614" s="4"/>
      <c r="L614" s="4"/>
      <c r="M614" s="4"/>
      <c r="N614" s="4"/>
    </row>
    <row r="615" spans="1:14" x14ac:dyDescent="0.55000000000000004">
      <c r="B615" s="9" t="s">
        <v>812</v>
      </c>
      <c r="C615" s="5">
        <v>-1</v>
      </c>
      <c r="D615" s="5">
        <v>0</v>
      </c>
      <c r="E615" s="5">
        <v>0</v>
      </c>
      <c r="F615" s="5">
        <v>0</v>
      </c>
      <c r="G615" s="5">
        <v>0</v>
      </c>
      <c r="H615" s="4"/>
      <c r="I615" s="4"/>
      <c r="J615" s="4"/>
      <c r="K615" s="4"/>
      <c r="L615" s="4"/>
      <c r="M615" s="4"/>
      <c r="N615" s="4"/>
    </row>
    <row r="616" spans="1:14" x14ac:dyDescent="0.55000000000000004">
      <c r="B616" s="9" t="s">
        <v>813</v>
      </c>
      <c r="C616" s="5">
        <v>0</v>
      </c>
      <c r="D616" s="5">
        <v>0</v>
      </c>
      <c r="E616" s="5">
        <v>0.5</v>
      </c>
      <c r="F616" s="5">
        <v>0</v>
      </c>
      <c r="G616" s="5">
        <v>0</v>
      </c>
      <c r="H616" s="4"/>
      <c r="I616" s="4"/>
      <c r="J616" s="4"/>
      <c r="K616" s="4"/>
      <c r="L616" s="4"/>
      <c r="M616" s="4"/>
      <c r="N616" s="4"/>
    </row>
    <row r="617" spans="1:14" x14ac:dyDescent="0.55000000000000004">
      <c r="B617" s="9" t="s">
        <v>814</v>
      </c>
      <c r="C617" s="5">
        <v>0</v>
      </c>
      <c r="D617" s="5">
        <v>0</v>
      </c>
      <c r="E617" s="5">
        <v>0</v>
      </c>
      <c r="F617" s="5">
        <v>0</v>
      </c>
      <c r="G617" s="5">
        <v>0</v>
      </c>
      <c r="H617" s="4"/>
      <c r="I617" s="4"/>
      <c r="J617" s="4"/>
      <c r="K617" s="4"/>
      <c r="L617" s="4"/>
      <c r="M617" s="4"/>
      <c r="N617" s="4"/>
    </row>
    <row r="618" spans="1:14" x14ac:dyDescent="0.55000000000000004">
      <c r="B618" s="9" t="s">
        <v>815</v>
      </c>
      <c r="C618" s="5">
        <v>0</v>
      </c>
      <c r="D618" s="5">
        <v>0</v>
      </c>
      <c r="E618" s="5">
        <v>0</v>
      </c>
      <c r="F618" s="5">
        <v>0</v>
      </c>
      <c r="G618" s="5">
        <v>0</v>
      </c>
      <c r="H618" s="4"/>
      <c r="I618" s="4"/>
      <c r="J618" s="4"/>
      <c r="K618" s="4"/>
      <c r="L618" s="4"/>
      <c r="M618" s="4"/>
      <c r="N618" s="4"/>
    </row>
    <row r="619" spans="1:14" x14ac:dyDescent="0.55000000000000004">
      <c r="B619" s="9" t="s">
        <v>816</v>
      </c>
      <c r="C619" s="5">
        <v>0</v>
      </c>
      <c r="D619" s="5">
        <v>0</v>
      </c>
      <c r="E619" s="5">
        <v>0</v>
      </c>
      <c r="F619" s="5">
        <v>0</v>
      </c>
      <c r="G619" s="5">
        <v>0</v>
      </c>
      <c r="H619" s="4"/>
      <c r="I619" s="4"/>
      <c r="J619" s="4"/>
      <c r="K619" s="4"/>
      <c r="L619" s="4"/>
      <c r="M619" s="4"/>
      <c r="N619" s="4"/>
    </row>
    <row r="620" spans="1:14" x14ac:dyDescent="0.55000000000000004">
      <c r="B620" s="9" t="s">
        <v>817</v>
      </c>
      <c r="C620" s="5">
        <v>0</v>
      </c>
      <c r="D620" s="5">
        <v>0</v>
      </c>
      <c r="E620" s="5">
        <v>0</v>
      </c>
      <c r="F620" s="5">
        <v>0</v>
      </c>
      <c r="G620" s="5">
        <v>0</v>
      </c>
      <c r="H620" s="4"/>
      <c r="I620" s="4"/>
      <c r="J620" s="4"/>
      <c r="K620" s="4"/>
      <c r="L620" s="4"/>
      <c r="M620" s="4"/>
      <c r="N620" s="4"/>
    </row>
    <row r="621" spans="1:14" x14ac:dyDescent="0.55000000000000004">
      <c r="A621" s="24" t="s">
        <v>1518</v>
      </c>
      <c r="B621" s="9" t="s">
        <v>1517</v>
      </c>
      <c r="C621" s="5">
        <v>0</v>
      </c>
      <c r="D621" s="5">
        <v>0</v>
      </c>
      <c r="E621" s="5">
        <v>0</v>
      </c>
      <c r="F621" s="5">
        <v>0</v>
      </c>
      <c r="G621" s="5">
        <v>0</v>
      </c>
      <c r="H621" s="4"/>
      <c r="I621" s="4"/>
      <c r="J621" s="4"/>
      <c r="K621" s="4"/>
      <c r="L621" s="4"/>
      <c r="M621" s="4"/>
      <c r="N621" s="4"/>
    </row>
    <row r="622" spans="1:14" x14ac:dyDescent="0.55000000000000004">
      <c r="B622" s="16"/>
      <c r="C622" s="4" t="s">
        <v>458</v>
      </c>
      <c r="D622" s="4"/>
      <c r="E622" s="4"/>
      <c r="F622" s="4"/>
      <c r="G622" s="4"/>
      <c r="H622" s="4"/>
      <c r="I622" s="4"/>
      <c r="J622" s="4"/>
      <c r="K622" s="4"/>
      <c r="L622" s="4"/>
      <c r="M622" s="4"/>
      <c r="N622" s="4"/>
    </row>
    <row r="623" spans="1:14" x14ac:dyDescent="0.55000000000000004">
      <c r="B623" s="61" t="s">
        <v>279</v>
      </c>
      <c r="C623" s="4" t="s">
        <v>157</v>
      </c>
      <c r="D623" s="4" t="s">
        <v>158</v>
      </c>
      <c r="E623" s="4" t="s">
        <v>159</v>
      </c>
      <c r="F623" s="4" t="s">
        <v>160</v>
      </c>
      <c r="G623" s="4" t="s">
        <v>161</v>
      </c>
      <c r="H623" s="4" t="s">
        <v>162</v>
      </c>
      <c r="I623" s="4" t="s">
        <v>163</v>
      </c>
      <c r="J623" s="4" t="s">
        <v>164</v>
      </c>
      <c r="K623" s="4"/>
      <c r="L623" s="4"/>
      <c r="M623" s="4"/>
      <c r="N623" s="4"/>
    </row>
    <row r="624" spans="1:14" x14ac:dyDescent="0.55000000000000004">
      <c r="B624" s="9" t="s">
        <v>443</v>
      </c>
      <c r="C624" s="5">
        <v>1.5</v>
      </c>
      <c r="D624" s="5"/>
      <c r="E624" s="5"/>
      <c r="F624" s="4"/>
      <c r="G624" s="4"/>
      <c r="H624" s="4"/>
      <c r="I624" s="4"/>
      <c r="J624" s="4"/>
      <c r="K624" s="4"/>
      <c r="L624" s="4"/>
      <c r="M624" s="4"/>
      <c r="N624" s="4"/>
    </row>
    <row r="625" spans="1:14" x14ac:dyDescent="0.55000000000000004">
      <c r="B625" s="9" t="s">
        <v>819</v>
      </c>
      <c r="C625" s="13" t="s">
        <v>982</v>
      </c>
      <c r="D625" s="4"/>
      <c r="E625" s="4"/>
      <c r="F625" s="4"/>
      <c r="G625" s="4"/>
      <c r="H625" s="4"/>
      <c r="I625" s="4"/>
      <c r="J625" s="4"/>
      <c r="K625" s="4"/>
      <c r="L625" s="4"/>
      <c r="M625" s="4"/>
      <c r="N625" s="4"/>
    </row>
    <row r="626" spans="1:14" x14ac:dyDescent="0.55000000000000004">
      <c r="B626" s="9" t="s">
        <v>818</v>
      </c>
      <c r="C626" s="13">
        <v>0</v>
      </c>
      <c r="D626" s="4"/>
      <c r="E626" s="4"/>
      <c r="F626" s="4"/>
      <c r="G626" s="4"/>
      <c r="H626" s="4"/>
      <c r="I626" s="4"/>
      <c r="J626" s="4"/>
      <c r="K626" s="4"/>
      <c r="L626" s="4"/>
      <c r="M626" s="4"/>
      <c r="N626" s="4"/>
    </row>
    <row r="627" spans="1:14" x14ac:dyDescent="0.55000000000000004">
      <c r="A627" s="24" t="s">
        <v>1518</v>
      </c>
      <c r="B627" s="9" t="s">
        <v>1625</v>
      </c>
      <c r="C627" s="5">
        <v>0</v>
      </c>
      <c r="D627" s="5"/>
      <c r="E627" s="4"/>
      <c r="F627" s="4"/>
      <c r="G627" s="4"/>
      <c r="H627" s="4"/>
      <c r="I627" s="4"/>
      <c r="J627" s="4"/>
      <c r="K627" s="4"/>
      <c r="L627" s="4"/>
      <c r="M627" s="4"/>
      <c r="N627" s="4"/>
    </row>
    <row r="628" spans="1:14" x14ac:dyDescent="0.55000000000000004">
      <c r="B628" s="16"/>
      <c r="C628" s="4" t="s">
        <v>458</v>
      </c>
      <c r="D628" s="4"/>
      <c r="E628" s="4"/>
      <c r="F628" s="4"/>
      <c r="G628" s="4"/>
      <c r="H628" s="4"/>
      <c r="I628" s="4"/>
      <c r="J628" s="4"/>
      <c r="K628" s="4"/>
      <c r="L628" s="4"/>
      <c r="M628" s="4"/>
      <c r="N628" s="3"/>
    </row>
    <row r="629" spans="1:14" x14ac:dyDescent="0.55000000000000004">
      <c r="A629" s="24" t="s">
        <v>1518</v>
      </c>
      <c r="B629" s="61" t="s">
        <v>1519</v>
      </c>
      <c r="C629" s="4" t="s">
        <v>82</v>
      </c>
      <c r="D629" s="4" t="s">
        <v>83</v>
      </c>
      <c r="E629" s="4" t="s">
        <v>84</v>
      </c>
      <c r="F629" s="4" t="s">
        <v>85</v>
      </c>
      <c r="G629" s="4" t="s">
        <v>86</v>
      </c>
      <c r="H629" s="4" t="s">
        <v>87</v>
      </c>
      <c r="I629" s="4" t="s">
        <v>88</v>
      </c>
      <c r="J629" s="4" t="s">
        <v>89</v>
      </c>
      <c r="K629" s="4" t="s">
        <v>93</v>
      </c>
      <c r="L629" s="4" t="s">
        <v>94</v>
      </c>
      <c r="M629" s="4"/>
    </row>
    <row r="630" spans="1:14" x14ac:dyDescent="0.55000000000000004">
      <c r="B630" s="9" t="s">
        <v>1520</v>
      </c>
      <c r="C630" s="5">
        <v>1.04</v>
      </c>
      <c r="D630" s="5"/>
      <c r="E630" s="4"/>
      <c r="F630" s="4"/>
      <c r="G630" s="4"/>
      <c r="H630" s="4"/>
      <c r="I630" s="4"/>
      <c r="J630" s="4"/>
      <c r="K630" s="4"/>
      <c r="L630" s="4"/>
      <c r="M630" s="4"/>
    </row>
    <row r="631" spans="1:14" x14ac:dyDescent="0.55000000000000004">
      <c r="B631" s="9" t="s">
        <v>1521</v>
      </c>
      <c r="C631" s="5">
        <v>1E-3</v>
      </c>
      <c r="D631" s="5"/>
      <c r="E631" s="4"/>
      <c r="F631" s="4"/>
      <c r="G631" s="4"/>
      <c r="H631" s="4"/>
      <c r="I631" s="4"/>
      <c r="J631" s="4"/>
      <c r="K631" s="4"/>
      <c r="L631" s="4"/>
      <c r="M631" s="4"/>
    </row>
    <row r="632" spans="1:14" x14ac:dyDescent="0.55000000000000004">
      <c r="B632" s="9" t="s">
        <v>1522</v>
      </c>
      <c r="C632" s="5">
        <v>1E-3</v>
      </c>
      <c r="D632" s="5"/>
      <c r="E632" s="4"/>
      <c r="F632" s="4"/>
      <c r="G632" s="4"/>
      <c r="H632" s="4"/>
      <c r="I632" s="4"/>
      <c r="J632" s="4"/>
      <c r="K632" s="4"/>
      <c r="L632" s="4"/>
      <c r="M632" s="4"/>
    </row>
    <row r="633" spans="1:14" x14ac:dyDescent="0.55000000000000004">
      <c r="B633" s="9" t="s">
        <v>1523</v>
      </c>
      <c r="C633" s="5">
        <v>1E-3</v>
      </c>
      <c r="D633" s="5"/>
      <c r="E633" s="4"/>
      <c r="F633" s="4"/>
      <c r="G633" s="4"/>
      <c r="H633" s="4"/>
      <c r="I633" s="4"/>
      <c r="J633" s="4"/>
      <c r="K633" s="4"/>
      <c r="L633" s="4"/>
      <c r="M633" s="4"/>
    </row>
    <row r="634" spans="1:14" x14ac:dyDescent="0.55000000000000004">
      <c r="B634" s="16"/>
      <c r="C634" s="4" t="s">
        <v>458</v>
      </c>
      <c r="D634" s="4"/>
      <c r="E634" s="4"/>
      <c r="F634" s="4"/>
      <c r="G634" s="4"/>
      <c r="H634" s="4"/>
      <c r="I634" s="4"/>
      <c r="J634" s="4"/>
      <c r="K634" s="4"/>
      <c r="L634" s="4"/>
      <c r="M634" s="4"/>
    </row>
    <row r="635" spans="1:14" x14ac:dyDescent="0.55000000000000004">
      <c r="A635" s="24" t="s">
        <v>1518</v>
      </c>
      <c r="B635" s="61" t="s">
        <v>1524</v>
      </c>
      <c r="C635" s="4" t="s">
        <v>82</v>
      </c>
      <c r="D635" s="4" t="s">
        <v>83</v>
      </c>
      <c r="E635" s="4" t="s">
        <v>84</v>
      </c>
      <c r="F635" s="4" t="s">
        <v>85</v>
      </c>
      <c r="G635" s="4" t="s">
        <v>86</v>
      </c>
      <c r="H635" s="4" t="s">
        <v>87</v>
      </c>
      <c r="I635" s="4" t="s">
        <v>88</v>
      </c>
      <c r="J635" s="4" t="s">
        <v>89</v>
      </c>
      <c r="K635" s="4" t="s">
        <v>93</v>
      </c>
      <c r="L635" s="4" t="s">
        <v>94</v>
      </c>
      <c r="M635" s="4"/>
    </row>
    <row r="636" spans="1:14" x14ac:dyDescent="0.55000000000000004">
      <c r="B636" s="9" t="s">
        <v>1526</v>
      </c>
      <c r="C636" s="5">
        <v>1E-3</v>
      </c>
      <c r="D636" s="5"/>
      <c r="E636" s="4"/>
      <c r="F636" s="4"/>
      <c r="G636" s="4"/>
      <c r="H636" s="4"/>
      <c r="I636" s="4"/>
      <c r="J636" s="4"/>
      <c r="K636" s="4"/>
      <c r="L636" s="4"/>
      <c r="M636" s="4"/>
    </row>
    <row r="637" spans="1:14" x14ac:dyDescent="0.55000000000000004">
      <c r="B637" s="9" t="s">
        <v>1527</v>
      </c>
      <c r="C637" s="5">
        <v>1.04</v>
      </c>
      <c r="D637" s="5"/>
      <c r="E637" s="4"/>
      <c r="F637" s="4"/>
      <c r="G637" s="4"/>
      <c r="H637" s="4"/>
      <c r="I637" s="4"/>
      <c r="J637" s="4"/>
      <c r="K637" s="4"/>
      <c r="L637" s="4"/>
      <c r="M637" s="4"/>
    </row>
    <row r="638" spans="1:14" x14ac:dyDescent="0.55000000000000004">
      <c r="B638" s="9" t="s">
        <v>1530</v>
      </c>
      <c r="C638" s="5">
        <v>1E-3</v>
      </c>
      <c r="D638" s="5"/>
      <c r="E638" s="4"/>
      <c r="F638" s="4"/>
      <c r="G638" s="4"/>
      <c r="H638" s="4"/>
      <c r="I638" s="4"/>
      <c r="J638" s="4"/>
      <c r="K638" s="4"/>
      <c r="L638" s="4"/>
      <c r="M638" s="4"/>
    </row>
    <row r="639" spans="1:14" x14ac:dyDescent="0.55000000000000004">
      <c r="B639" s="9" t="s">
        <v>1532</v>
      </c>
      <c r="C639" s="5">
        <v>1E-3</v>
      </c>
      <c r="D639" s="5"/>
      <c r="E639" s="4"/>
      <c r="F639" s="4"/>
      <c r="G639" s="4"/>
      <c r="H639" s="4"/>
      <c r="I639" s="4"/>
      <c r="J639" s="4"/>
      <c r="K639" s="4"/>
      <c r="L639" s="4"/>
      <c r="M639" s="4"/>
    </row>
    <row r="640" spans="1:14" x14ac:dyDescent="0.55000000000000004">
      <c r="B640" s="16"/>
      <c r="C640" s="5" t="s">
        <v>458</v>
      </c>
      <c r="D640" s="5"/>
      <c r="E640" s="4"/>
      <c r="F640" s="4"/>
      <c r="G640" s="4"/>
      <c r="H640" s="4"/>
      <c r="I640" s="4"/>
      <c r="J640" s="4"/>
      <c r="K640" s="4"/>
      <c r="L640" s="4"/>
      <c r="M640" s="4"/>
    </row>
    <row r="641" spans="1:13" x14ac:dyDescent="0.55000000000000004">
      <c r="A641" s="24" t="s">
        <v>1518</v>
      </c>
      <c r="B641" s="61" t="s">
        <v>1525</v>
      </c>
      <c r="C641" s="5" t="s">
        <v>82</v>
      </c>
      <c r="D641" s="5" t="s">
        <v>83</v>
      </c>
      <c r="E641" s="4" t="s">
        <v>84</v>
      </c>
      <c r="F641" s="4" t="s">
        <v>85</v>
      </c>
      <c r="G641" s="4" t="s">
        <v>86</v>
      </c>
      <c r="H641" s="4" t="s">
        <v>87</v>
      </c>
      <c r="I641" s="4" t="s">
        <v>88</v>
      </c>
      <c r="J641" s="4" t="s">
        <v>89</v>
      </c>
      <c r="K641" s="4" t="s">
        <v>93</v>
      </c>
      <c r="L641" s="4" t="s">
        <v>94</v>
      </c>
      <c r="M641" s="4"/>
    </row>
    <row r="642" spans="1:13" x14ac:dyDescent="0.55000000000000004">
      <c r="B642" s="9" t="s">
        <v>1529</v>
      </c>
      <c r="C642" s="5">
        <v>1E-3</v>
      </c>
      <c r="D642" s="5"/>
      <c r="E642" s="4"/>
      <c r="F642" s="4"/>
      <c r="G642" s="4"/>
      <c r="H642" s="4"/>
      <c r="I642" s="4"/>
      <c r="J642" s="4"/>
      <c r="K642" s="4"/>
      <c r="L642" s="4"/>
      <c r="M642" s="4"/>
    </row>
    <row r="643" spans="1:13" x14ac:dyDescent="0.55000000000000004">
      <c r="B643" s="9" t="s">
        <v>1528</v>
      </c>
      <c r="C643" s="5">
        <v>1.04</v>
      </c>
      <c r="D643" s="5"/>
      <c r="E643" s="4"/>
      <c r="F643" s="4"/>
      <c r="G643" s="4"/>
      <c r="H643" s="4"/>
      <c r="I643" s="4"/>
      <c r="J643" s="4"/>
      <c r="K643" s="4"/>
      <c r="L643" s="4"/>
      <c r="M643" s="4"/>
    </row>
    <row r="644" spans="1:13" x14ac:dyDescent="0.55000000000000004">
      <c r="B644" s="9" t="s">
        <v>1531</v>
      </c>
      <c r="C644" s="5">
        <v>0.1</v>
      </c>
      <c r="D644" s="5"/>
      <c r="E644" s="4"/>
      <c r="F644" s="4"/>
      <c r="G644" s="4"/>
      <c r="H644" s="4"/>
      <c r="I644" s="4"/>
      <c r="J644" s="4"/>
      <c r="K644" s="4"/>
      <c r="L644" s="4"/>
      <c r="M644" s="4"/>
    </row>
    <row r="645" spans="1:13" x14ac:dyDescent="0.55000000000000004">
      <c r="B645" s="16"/>
      <c r="C645" s="4" t="s">
        <v>458</v>
      </c>
      <c r="D645" s="4"/>
      <c r="E645" s="4"/>
      <c r="F645" s="4"/>
      <c r="G645" s="4"/>
      <c r="H645" s="4"/>
      <c r="I645" s="4"/>
      <c r="J645" s="4"/>
      <c r="K645" s="4"/>
      <c r="L645" s="4"/>
      <c r="M645" s="4"/>
    </row>
    <row r="646" spans="1:13" x14ac:dyDescent="0.55000000000000004">
      <c r="A646" s="24" t="s">
        <v>1518</v>
      </c>
      <c r="B646" s="61" t="s">
        <v>1534</v>
      </c>
      <c r="C646" s="4" t="s">
        <v>82</v>
      </c>
      <c r="D646" s="4" t="s">
        <v>83</v>
      </c>
      <c r="E646" s="4" t="s">
        <v>84</v>
      </c>
      <c r="F646" s="4" t="s">
        <v>85</v>
      </c>
      <c r="G646" s="4" t="s">
        <v>86</v>
      </c>
      <c r="H646" s="4" t="s">
        <v>87</v>
      </c>
      <c r="I646" s="4" t="s">
        <v>88</v>
      </c>
      <c r="J646" s="4" t="s">
        <v>89</v>
      </c>
      <c r="K646" s="4" t="s">
        <v>93</v>
      </c>
      <c r="L646" s="4" t="s">
        <v>94</v>
      </c>
      <c r="M646" s="4"/>
    </row>
    <row r="647" spans="1:13" x14ac:dyDescent="0.55000000000000004">
      <c r="B647" s="9" t="s">
        <v>1679</v>
      </c>
      <c r="C647" s="5">
        <v>1E-3</v>
      </c>
      <c r="D647" s="5"/>
      <c r="E647" s="4"/>
      <c r="F647" s="4"/>
      <c r="G647" s="4"/>
      <c r="H647" s="4"/>
      <c r="I647" s="4"/>
      <c r="J647" s="4"/>
      <c r="K647" s="4"/>
      <c r="L647" s="4"/>
      <c r="M647" s="4"/>
    </row>
    <row r="648" spans="1:13" x14ac:dyDescent="0.55000000000000004">
      <c r="B648" s="9" t="s">
        <v>1872</v>
      </c>
      <c r="C648" s="5">
        <v>1.04</v>
      </c>
      <c r="D648" s="5"/>
      <c r="E648" s="4"/>
      <c r="F648" s="4"/>
      <c r="G648" s="4"/>
      <c r="H648" s="4"/>
      <c r="I648" s="4"/>
      <c r="J648" s="4"/>
      <c r="K648" s="4"/>
      <c r="L648" s="4"/>
      <c r="M648" s="4"/>
    </row>
    <row r="649" spans="1:13" x14ac:dyDescent="0.55000000000000004">
      <c r="B649" s="9" t="s">
        <v>1678</v>
      </c>
      <c r="C649" s="5">
        <v>1E-3</v>
      </c>
      <c r="D649" s="5"/>
      <c r="E649" s="4"/>
      <c r="F649" s="4"/>
      <c r="G649" s="4"/>
      <c r="H649" s="4"/>
      <c r="I649" s="4"/>
      <c r="J649" s="4"/>
      <c r="K649" s="4"/>
      <c r="L649" s="4"/>
      <c r="M649" s="4"/>
    </row>
    <row r="650" spans="1:13" x14ac:dyDescent="0.55000000000000004">
      <c r="B650" s="9" t="s">
        <v>1871</v>
      </c>
      <c r="C650" s="5">
        <v>1E-3</v>
      </c>
      <c r="D650" s="5"/>
      <c r="E650" s="4"/>
      <c r="F650" s="4"/>
      <c r="G650" s="4"/>
      <c r="H650" s="4"/>
      <c r="I650" s="4"/>
      <c r="J650" s="4"/>
      <c r="K650" s="4"/>
      <c r="L650" s="4"/>
      <c r="M650" s="4"/>
    </row>
    <row r="651" spans="1:13" x14ac:dyDescent="0.55000000000000004">
      <c r="B651" s="9" t="s">
        <v>1677</v>
      </c>
      <c r="C651" s="5">
        <v>1E-3</v>
      </c>
      <c r="D651" s="5"/>
      <c r="E651" s="4"/>
      <c r="F651" s="4"/>
      <c r="G651" s="4"/>
      <c r="H651" s="4"/>
      <c r="I651" s="4"/>
      <c r="J651" s="4"/>
      <c r="K651" s="4"/>
      <c r="L651" s="4"/>
      <c r="M651" s="4"/>
    </row>
    <row r="652" spans="1:13" x14ac:dyDescent="0.55000000000000004">
      <c r="B652" s="16"/>
      <c r="C652" s="4" t="s">
        <v>458</v>
      </c>
      <c r="D652" s="4"/>
      <c r="E652" s="4"/>
      <c r="F652" s="4"/>
      <c r="G652" s="4"/>
      <c r="H652" s="4"/>
      <c r="I652" s="4"/>
      <c r="J652" s="4"/>
      <c r="K652" s="4"/>
      <c r="L652" s="4"/>
      <c r="M652" s="4"/>
    </row>
    <row r="653" spans="1:13" x14ac:dyDescent="0.55000000000000004">
      <c r="A653" s="24" t="s">
        <v>1518</v>
      </c>
      <c r="B653" s="61" t="s">
        <v>1533</v>
      </c>
      <c r="C653" s="4" t="s">
        <v>82</v>
      </c>
      <c r="D653" s="4" t="s">
        <v>83</v>
      </c>
      <c r="E653" s="4" t="s">
        <v>84</v>
      </c>
      <c r="F653" s="4" t="s">
        <v>85</v>
      </c>
      <c r="G653" s="4" t="s">
        <v>86</v>
      </c>
      <c r="H653" s="4" t="s">
        <v>87</v>
      </c>
      <c r="I653" s="4" t="s">
        <v>88</v>
      </c>
      <c r="J653" s="4" t="s">
        <v>89</v>
      </c>
      <c r="K653" s="4" t="s">
        <v>93</v>
      </c>
      <c r="L653" s="4" t="s">
        <v>94</v>
      </c>
      <c r="M653" s="4"/>
    </row>
    <row r="654" spans="1:13" x14ac:dyDescent="0.55000000000000004">
      <c r="B654" s="9" t="s">
        <v>1672</v>
      </c>
      <c r="C654" s="5">
        <v>1E-3</v>
      </c>
      <c r="D654" s="5"/>
      <c r="E654" s="4"/>
      <c r="F654" s="4"/>
      <c r="G654" s="4"/>
      <c r="H654" s="4"/>
      <c r="I654" s="4"/>
      <c r="J654" s="4"/>
      <c r="K654" s="4"/>
      <c r="L654" s="4"/>
      <c r="M654" s="4"/>
    </row>
    <row r="655" spans="1:13" x14ac:dyDescent="0.55000000000000004">
      <c r="B655" s="9" t="s">
        <v>1673</v>
      </c>
      <c r="C655" s="5">
        <v>1.04</v>
      </c>
      <c r="D655" s="4"/>
      <c r="E655" s="4"/>
      <c r="F655" s="4"/>
      <c r="G655" s="4"/>
      <c r="H655" s="4"/>
      <c r="I655" s="4"/>
      <c r="J655" s="4"/>
      <c r="K655" s="4"/>
      <c r="L655" s="4"/>
      <c r="M655" s="4"/>
    </row>
    <row r="656" spans="1:13" x14ac:dyDescent="0.55000000000000004">
      <c r="B656" s="9" t="s">
        <v>1674</v>
      </c>
      <c r="C656" s="5">
        <v>1E-3</v>
      </c>
      <c r="D656" s="4"/>
      <c r="E656" s="4"/>
      <c r="F656" s="4"/>
      <c r="G656" s="4"/>
      <c r="H656" s="4"/>
      <c r="I656" s="4"/>
      <c r="J656" s="4"/>
      <c r="K656" s="4"/>
      <c r="L656" s="4"/>
      <c r="M656" s="4"/>
    </row>
    <row r="657" spans="2:13" x14ac:dyDescent="0.55000000000000004">
      <c r="B657" s="9" t="s">
        <v>1675</v>
      </c>
      <c r="C657" s="5">
        <v>1E-3</v>
      </c>
      <c r="D657" s="5"/>
      <c r="E657" s="4"/>
      <c r="F657" s="4"/>
      <c r="G657" s="4"/>
      <c r="H657" s="4"/>
      <c r="I657" s="4"/>
      <c r="J657" s="4"/>
      <c r="K657" s="4"/>
      <c r="L657" s="4"/>
      <c r="M657" s="4"/>
    </row>
    <row r="658" spans="2:13" x14ac:dyDescent="0.55000000000000004">
      <c r="B658" s="9" t="s">
        <v>1676</v>
      </c>
      <c r="C658" s="5">
        <v>1E-3</v>
      </c>
      <c r="D658" s="5"/>
      <c r="E658" s="4"/>
      <c r="F658" s="4"/>
      <c r="G658" s="4"/>
      <c r="H658" s="4"/>
      <c r="I658" s="4"/>
      <c r="J658" s="4"/>
      <c r="K658" s="4"/>
      <c r="L658" s="4"/>
      <c r="M658" s="4"/>
    </row>
    <row r="659" spans="2:13" x14ac:dyDescent="0.55000000000000004">
      <c r="B659" s="16"/>
      <c r="C659" s="4" t="s">
        <v>458</v>
      </c>
      <c r="D659" s="4"/>
      <c r="E659" s="4"/>
      <c r="F659" s="4"/>
      <c r="G659" s="4"/>
      <c r="H659" s="4"/>
      <c r="I659" s="4"/>
      <c r="J659" s="4"/>
      <c r="K659" s="4"/>
      <c r="L659" s="4"/>
      <c r="M659" s="4"/>
    </row>
    <row r="660" spans="2:13" x14ac:dyDescent="0.55000000000000004">
      <c r="B660" s="61" t="s">
        <v>200</v>
      </c>
      <c r="C660" s="4" t="s">
        <v>67</v>
      </c>
      <c r="D660" s="4" t="s">
        <v>68</v>
      </c>
      <c r="E660" s="4" t="s">
        <v>69</v>
      </c>
      <c r="F660" s="4" t="s">
        <v>960</v>
      </c>
      <c r="G660" s="4" t="s">
        <v>961</v>
      </c>
      <c r="H660" s="4" t="s">
        <v>962</v>
      </c>
      <c r="I660" s="4" t="s">
        <v>963</v>
      </c>
      <c r="J660" s="4" t="s">
        <v>964</v>
      </c>
      <c r="K660" s="4"/>
      <c r="L660" s="4"/>
      <c r="M660" s="4"/>
    </row>
    <row r="661" spans="2:13" x14ac:dyDescent="0.55000000000000004">
      <c r="B661" s="9" t="s">
        <v>444</v>
      </c>
      <c r="C661" s="5">
        <v>1.5</v>
      </c>
      <c r="D661" s="5">
        <v>1.5</v>
      </c>
      <c r="E661" s="5">
        <v>1.7</v>
      </c>
      <c r="F661" s="4"/>
      <c r="G661" s="4"/>
      <c r="H661" s="4"/>
      <c r="I661" s="4"/>
      <c r="J661" s="4"/>
      <c r="K661" s="4"/>
      <c r="L661" s="4"/>
      <c r="M661" s="4"/>
    </row>
    <row r="662" spans="2:13" x14ac:dyDescent="0.55000000000000004">
      <c r="B662" s="9" t="s">
        <v>1221</v>
      </c>
      <c r="C662" s="5">
        <v>0.04</v>
      </c>
      <c r="D662" s="5">
        <v>0.04</v>
      </c>
      <c r="E662" s="5">
        <v>0.04</v>
      </c>
      <c r="F662" s="4"/>
      <c r="G662" s="4"/>
      <c r="H662" s="4"/>
      <c r="I662" s="4"/>
      <c r="J662" s="4"/>
      <c r="K662" s="4"/>
      <c r="L662" s="4"/>
      <c r="M662" s="4"/>
    </row>
    <row r="663" spans="2:13" x14ac:dyDescent="0.55000000000000004">
      <c r="B663" s="9" t="s">
        <v>281</v>
      </c>
      <c r="C663" s="5">
        <v>0.04</v>
      </c>
      <c r="D663" s="5">
        <v>0.04</v>
      </c>
      <c r="E663" s="5">
        <v>0.04</v>
      </c>
      <c r="F663" s="4"/>
      <c r="G663" s="4"/>
      <c r="H663" s="4"/>
      <c r="I663" s="4"/>
      <c r="J663" s="4"/>
      <c r="K663" s="4"/>
      <c r="L663" s="4"/>
      <c r="M663" s="4"/>
    </row>
    <row r="664" spans="2:13" x14ac:dyDescent="0.55000000000000004">
      <c r="B664" s="9" t="s">
        <v>282</v>
      </c>
      <c r="C664" s="5">
        <v>0.1</v>
      </c>
      <c r="D664" s="5">
        <v>0.1</v>
      </c>
      <c r="E664" s="5">
        <v>0.1</v>
      </c>
      <c r="F664" s="4"/>
      <c r="G664" s="4"/>
      <c r="H664" s="4"/>
      <c r="I664" s="4"/>
      <c r="J664" s="4"/>
      <c r="K664" s="4"/>
      <c r="L664" s="4"/>
      <c r="M664" s="4"/>
    </row>
    <row r="665" spans="2:13" x14ac:dyDescent="0.55000000000000004">
      <c r="B665" s="9" t="s">
        <v>445</v>
      </c>
      <c r="C665" s="5">
        <v>0.2</v>
      </c>
      <c r="D665" s="5">
        <v>0.2</v>
      </c>
      <c r="E665" s="5">
        <v>-2</v>
      </c>
      <c r="F665" s="4"/>
      <c r="G665" s="4"/>
      <c r="H665" s="4"/>
      <c r="I665" s="4"/>
      <c r="J665" s="4"/>
      <c r="K665" s="4"/>
      <c r="L665" s="4"/>
      <c r="M665" s="4"/>
    </row>
    <row r="666" spans="2:13" x14ac:dyDescent="0.55000000000000004">
      <c r="B666" s="9" t="s">
        <v>446</v>
      </c>
      <c r="C666" s="5">
        <v>3.0000000000000001E-3</v>
      </c>
      <c r="D666" s="5">
        <v>3.0000000000000001E-3</v>
      </c>
      <c r="E666" s="5">
        <v>3.0000000000000001E-3</v>
      </c>
      <c r="F666" s="4"/>
      <c r="G666" s="4"/>
      <c r="H666" s="4"/>
      <c r="I666" s="4"/>
      <c r="J666" s="4"/>
      <c r="K666" s="4"/>
      <c r="L666" s="4"/>
      <c r="M666" s="4"/>
    </row>
    <row r="667" spans="2:13" x14ac:dyDescent="0.55000000000000004">
      <c r="B667" s="9" t="s">
        <v>447</v>
      </c>
      <c r="C667" s="5">
        <v>1.4E-2</v>
      </c>
      <c r="D667" s="5">
        <v>1.4E-2</v>
      </c>
      <c r="E667" s="5">
        <v>1.4E-2</v>
      </c>
      <c r="F667" s="4"/>
      <c r="G667" s="4"/>
      <c r="H667" s="4"/>
      <c r="I667" s="4"/>
      <c r="J667" s="4"/>
      <c r="K667" s="4"/>
      <c r="L667" s="4"/>
      <c r="M667" s="4"/>
    </row>
    <row r="668" spans="2:13" x14ac:dyDescent="0.55000000000000004">
      <c r="B668" s="9" t="s">
        <v>448</v>
      </c>
      <c r="C668" s="5">
        <v>0</v>
      </c>
      <c r="D668" s="5">
        <v>0</v>
      </c>
      <c r="E668" s="5">
        <v>0</v>
      </c>
      <c r="F668" s="4"/>
      <c r="G668" s="4"/>
      <c r="H668" s="4"/>
      <c r="I668" s="4"/>
      <c r="J668" s="4"/>
      <c r="K668" s="4"/>
      <c r="L668" s="4"/>
      <c r="M668" s="4"/>
    </row>
    <row r="669" spans="2:13" x14ac:dyDescent="0.55000000000000004">
      <c r="B669" s="9" t="s">
        <v>1222</v>
      </c>
      <c r="C669" s="5">
        <v>40</v>
      </c>
      <c r="D669" s="5">
        <v>75</v>
      </c>
      <c r="E669" s="5">
        <v>125</v>
      </c>
      <c r="F669" s="4"/>
      <c r="G669" s="4"/>
      <c r="H669" s="4"/>
      <c r="I669" s="4"/>
      <c r="J669" s="4"/>
      <c r="K669" s="4"/>
      <c r="L669" s="4"/>
      <c r="M669" s="4"/>
    </row>
    <row r="670" spans="2:13" x14ac:dyDescent="0.55000000000000004">
      <c r="B670" s="9" t="s">
        <v>608</v>
      </c>
      <c r="C670" s="5">
        <v>8</v>
      </c>
      <c r="D670" s="5">
        <v>10</v>
      </c>
      <c r="E670" s="5">
        <v>24.3</v>
      </c>
      <c r="F670" s="4"/>
      <c r="G670" s="4"/>
      <c r="H670" s="4"/>
      <c r="I670" s="4"/>
      <c r="J670" s="4"/>
      <c r="K670" s="4"/>
      <c r="L670" s="4"/>
      <c r="M670" s="4"/>
    </row>
    <row r="671" spans="2:13" x14ac:dyDescent="0.55000000000000004">
      <c r="B671" s="9" t="s">
        <v>609</v>
      </c>
      <c r="C671" s="5">
        <v>10</v>
      </c>
      <c r="D671" s="5">
        <v>16</v>
      </c>
      <c r="E671" s="5">
        <v>27</v>
      </c>
      <c r="F671" s="4"/>
      <c r="G671" s="4"/>
      <c r="H671" s="4"/>
      <c r="I671" s="4"/>
      <c r="J671" s="4"/>
      <c r="K671" s="4"/>
      <c r="L671" s="4"/>
      <c r="M671" s="4"/>
    </row>
    <row r="672" spans="2:13" x14ac:dyDescent="0.55000000000000004">
      <c r="B672" s="9" t="s">
        <v>610</v>
      </c>
      <c r="C672" s="5">
        <v>18</v>
      </c>
      <c r="D672" s="5">
        <v>20</v>
      </c>
      <c r="E672" s="5">
        <v>35</v>
      </c>
      <c r="F672" s="4"/>
      <c r="G672" s="4"/>
      <c r="H672" s="4"/>
      <c r="I672" s="4"/>
      <c r="J672" s="4"/>
      <c r="K672" s="4"/>
      <c r="L672" s="4"/>
      <c r="M672" s="4"/>
    </row>
    <row r="673" spans="1:13" x14ac:dyDescent="0.55000000000000004">
      <c r="B673" s="9" t="s">
        <v>611</v>
      </c>
      <c r="C673" s="5">
        <v>22</v>
      </c>
      <c r="D673" s="5">
        <v>25</v>
      </c>
      <c r="E673" s="5">
        <v>40</v>
      </c>
      <c r="F673" s="4"/>
      <c r="G673" s="4"/>
      <c r="H673" s="4"/>
      <c r="I673" s="4"/>
      <c r="J673" s="4"/>
      <c r="K673" s="4"/>
      <c r="L673" s="4"/>
      <c r="M673" s="4"/>
    </row>
    <row r="674" spans="1:13" x14ac:dyDescent="0.55000000000000004">
      <c r="B674" s="9" t="s">
        <v>612</v>
      </c>
      <c r="C674" s="5">
        <v>0.1</v>
      </c>
      <c r="D674" s="5">
        <v>0.1</v>
      </c>
      <c r="E674" s="5">
        <v>0.1</v>
      </c>
      <c r="F674" s="4"/>
      <c r="G674" s="4"/>
      <c r="H674" s="4"/>
      <c r="I674" s="4"/>
      <c r="J674" s="4"/>
      <c r="K674" s="4"/>
      <c r="L674" s="4"/>
      <c r="M674" s="4"/>
    </row>
    <row r="675" spans="1:13" x14ac:dyDescent="0.55000000000000004">
      <c r="B675" s="9" t="s">
        <v>613</v>
      </c>
      <c r="C675" s="5">
        <v>0.99</v>
      </c>
      <c r="D675" s="5">
        <v>0.99</v>
      </c>
      <c r="E675" s="5">
        <v>0.99</v>
      </c>
      <c r="F675" s="4"/>
      <c r="G675" s="4"/>
      <c r="H675" s="4"/>
      <c r="I675" s="4"/>
      <c r="J675" s="4"/>
      <c r="K675" s="4"/>
      <c r="L675" s="4"/>
      <c r="M675" s="4"/>
    </row>
    <row r="676" spans="1:13" x14ac:dyDescent="0.55000000000000004">
      <c r="B676" s="9" t="s">
        <v>614</v>
      </c>
      <c r="C676" s="5">
        <v>0.99</v>
      </c>
      <c r="D676" s="5">
        <v>0.99</v>
      </c>
      <c r="E676" s="5">
        <v>0.99</v>
      </c>
      <c r="F676" s="4"/>
      <c r="G676" s="4"/>
      <c r="H676" s="4"/>
      <c r="I676" s="4"/>
      <c r="J676" s="4"/>
      <c r="K676" s="4"/>
      <c r="L676" s="4"/>
      <c r="M676" s="4"/>
    </row>
    <row r="677" spans="1:13" x14ac:dyDescent="0.55000000000000004">
      <c r="B677" s="9" t="s">
        <v>615</v>
      </c>
      <c r="C677" s="5">
        <v>0.1</v>
      </c>
      <c r="D677" s="5">
        <v>0.1</v>
      </c>
      <c r="E677" s="5">
        <v>0.1</v>
      </c>
      <c r="F677" s="4"/>
      <c r="G677" s="4"/>
      <c r="H677" s="4"/>
      <c r="I677" s="4"/>
      <c r="J677" s="4"/>
      <c r="K677" s="4"/>
      <c r="L677" s="4"/>
      <c r="M677" s="4"/>
    </row>
    <row r="678" spans="1:13" x14ac:dyDescent="0.55000000000000004">
      <c r="B678" s="9" t="s">
        <v>616</v>
      </c>
      <c r="C678" s="5">
        <v>5.0000000000000001E-3</v>
      </c>
      <c r="D678" s="5">
        <v>5.0000000000000001E-3</v>
      </c>
      <c r="E678" s="5">
        <v>4.0000000000000001E-3</v>
      </c>
      <c r="F678" s="4"/>
      <c r="G678" s="4"/>
      <c r="H678" s="4"/>
      <c r="I678" s="4"/>
      <c r="J678" s="4"/>
      <c r="K678" s="4"/>
      <c r="L678" s="4"/>
      <c r="M678" s="4"/>
    </row>
    <row r="679" spans="1:13" x14ac:dyDescent="0.55000000000000004">
      <c r="B679" s="9" t="s">
        <v>617</v>
      </c>
      <c r="C679" s="5">
        <v>0.08</v>
      </c>
      <c r="D679" s="5">
        <v>0.08</v>
      </c>
      <c r="E679" s="5">
        <v>0.08</v>
      </c>
      <c r="F679" s="4"/>
      <c r="G679" s="4"/>
      <c r="H679" s="4"/>
      <c r="I679" s="4"/>
      <c r="J679" s="4"/>
      <c r="K679" s="4"/>
      <c r="L679" s="4"/>
      <c r="M679" s="4"/>
    </row>
    <row r="680" spans="1:13" x14ac:dyDescent="0.55000000000000004">
      <c r="B680" s="9" t="s">
        <v>618</v>
      </c>
      <c r="C680" s="5">
        <v>0.45</v>
      </c>
      <c r="D680" s="5">
        <v>0.45</v>
      </c>
      <c r="E680" s="5">
        <v>0.45</v>
      </c>
      <c r="F680" s="4"/>
      <c r="G680" s="4"/>
      <c r="H680" s="4"/>
      <c r="I680" s="4"/>
      <c r="J680" s="4"/>
      <c r="K680" s="4"/>
      <c r="L680" s="4"/>
      <c r="M680" s="4"/>
    </row>
    <row r="681" spans="1:13" x14ac:dyDescent="0.55000000000000004">
      <c r="B681" s="9" t="s">
        <v>619</v>
      </c>
      <c r="C681" s="5">
        <v>0</v>
      </c>
      <c r="D681" s="5">
        <v>0</v>
      </c>
      <c r="E681" s="5">
        <v>0</v>
      </c>
      <c r="F681" s="4"/>
      <c r="G681" s="4"/>
      <c r="H681" s="4"/>
      <c r="I681" s="4"/>
      <c r="J681" s="4"/>
      <c r="K681" s="4"/>
      <c r="L681" s="4"/>
      <c r="M681" s="4"/>
    </row>
    <row r="682" spans="1:13" x14ac:dyDescent="0.55000000000000004">
      <c r="B682" s="9" t="s">
        <v>620</v>
      </c>
      <c r="C682" s="5">
        <v>0.05</v>
      </c>
      <c r="D682" s="5">
        <v>0.2</v>
      </c>
      <c r="E682" s="5">
        <v>0.2</v>
      </c>
      <c r="F682" s="4"/>
      <c r="G682" s="4"/>
      <c r="H682" s="4"/>
      <c r="I682" s="4"/>
      <c r="J682" s="4"/>
      <c r="K682" s="4"/>
      <c r="L682" s="4"/>
      <c r="M682" s="4"/>
    </row>
    <row r="683" spans="1:13" x14ac:dyDescent="0.55000000000000004">
      <c r="B683" s="9" t="s">
        <v>621</v>
      </c>
      <c r="C683" s="5">
        <v>0.8</v>
      </c>
      <c r="D683" s="5">
        <v>0.8</v>
      </c>
      <c r="E683" s="5">
        <v>0.8</v>
      </c>
      <c r="F683" s="4"/>
      <c r="G683" s="4"/>
      <c r="H683" s="4"/>
      <c r="I683" s="4"/>
      <c r="J683" s="4"/>
      <c r="K683" s="4"/>
      <c r="L683" s="4"/>
      <c r="M683" s="4"/>
    </row>
    <row r="684" spans="1:13" x14ac:dyDescent="0.55000000000000004">
      <c r="B684" s="9" t="s">
        <v>622</v>
      </c>
      <c r="C684" s="5">
        <v>2</v>
      </c>
      <c r="D684" s="5">
        <v>2</v>
      </c>
      <c r="E684" s="5">
        <v>2</v>
      </c>
      <c r="F684" s="4"/>
      <c r="G684" s="4"/>
      <c r="H684" s="4"/>
      <c r="I684" s="4"/>
      <c r="J684" s="4"/>
      <c r="K684" s="4"/>
      <c r="L684" s="4"/>
      <c r="M684" s="4"/>
    </row>
    <row r="685" spans="1:13" x14ac:dyDescent="0.55000000000000004">
      <c r="B685" s="9" t="s">
        <v>623</v>
      </c>
      <c r="C685" s="5">
        <v>1E-3</v>
      </c>
      <c r="D685" s="5">
        <v>1E-3</v>
      </c>
      <c r="E685" s="5">
        <v>1E-3</v>
      </c>
      <c r="F685" s="4"/>
      <c r="G685" s="4"/>
      <c r="H685" s="4"/>
      <c r="I685" s="4"/>
      <c r="J685" s="4"/>
      <c r="K685" s="4"/>
      <c r="L685" s="4"/>
      <c r="M685" s="4"/>
    </row>
    <row r="686" spans="1:13" x14ac:dyDescent="0.55000000000000004">
      <c r="B686" s="9" t="s">
        <v>811</v>
      </c>
      <c r="C686" s="5">
        <v>1.1000000000000001</v>
      </c>
      <c r="D686" s="5">
        <v>1.1000000000000001</v>
      </c>
      <c r="E686" s="5">
        <v>1.1000000000000001</v>
      </c>
      <c r="F686" s="4"/>
      <c r="G686" s="4"/>
      <c r="H686" s="4"/>
      <c r="I686" s="4"/>
      <c r="J686" s="4"/>
      <c r="K686" s="4"/>
      <c r="L686" s="4"/>
      <c r="M686" s="4"/>
    </row>
    <row r="687" spans="1:13" x14ac:dyDescent="0.55000000000000004">
      <c r="B687" s="9" t="s">
        <v>810</v>
      </c>
      <c r="C687" s="5">
        <v>1.8</v>
      </c>
      <c r="D687" s="5">
        <v>1.8</v>
      </c>
      <c r="E687" s="5">
        <v>1.8</v>
      </c>
      <c r="F687" s="4"/>
      <c r="G687" s="4"/>
      <c r="H687" s="4"/>
      <c r="I687" s="4"/>
      <c r="J687" s="4"/>
      <c r="K687" s="4"/>
      <c r="L687" s="4"/>
      <c r="M687" s="4"/>
    </row>
    <row r="688" spans="1:13" x14ac:dyDescent="0.55000000000000004">
      <c r="A688" s="24" t="s">
        <v>2242</v>
      </c>
      <c r="B688" s="9" t="s">
        <v>2244</v>
      </c>
      <c r="C688" s="5" t="s">
        <v>11</v>
      </c>
      <c r="D688" s="5" t="s">
        <v>11</v>
      </c>
      <c r="E688" s="5" t="s">
        <v>11</v>
      </c>
      <c r="F688" s="4"/>
      <c r="G688" s="4"/>
      <c r="H688" s="4"/>
      <c r="I688" s="4"/>
      <c r="J688" s="4"/>
      <c r="K688" s="4"/>
      <c r="L688" s="4"/>
      <c r="M688" s="4"/>
    </row>
    <row r="689" spans="1:13" x14ac:dyDescent="0.55000000000000004">
      <c r="B689" s="16"/>
      <c r="C689" s="4" t="s">
        <v>458</v>
      </c>
      <c r="D689" s="4"/>
      <c r="E689" s="4"/>
      <c r="F689" s="4"/>
      <c r="G689" s="4"/>
      <c r="H689" s="4"/>
      <c r="I689" s="4"/>
      <c r="J689" s="4"/>
      <c r="K689" s="4"/>
      <c r="L689" s="4"/>
      <c r="M689" s="4"/>
    </row>
    <row r="690" spans="1:13" x14ac:dyDescent="0.55000000000000004">
      <c r="B690" s="61" t="s">
        <v>633</v>
      </c>
      <c r="C690" s="4" t="s">
        <v>82</v>
      </c>
      <c r="D690" s="4" t="s">
        <v>83</v>
      </c>
      <c r="E690" s="4" t="s">
        <v>84</v>
      </c>
      <c r="F690" s="4" t="s">
        <v>85</v>
      </c>
      <c r="G690" s="4" t="s">
        <v>86</v>
      </c>
      <c r="H690" s="4" t="s">
        <v>87</v>
      </c>
      <c r="I690" s="4" t="s">
        <v>88</v>
      </c>
      <c r="J690" s="4" t="s">
        <v>89</v>
      </c>
      <c r="K690" s="4" t="s">
        <v>93</v>
      </c>
      <c r="L690" s="4" t="s">
        <v>94</v>
      </c>
      <c r="M690" s="7"/>
    </row>
    <row r="691" spans="1:13" x14ac:dyDescent="0.55000000000000004">
      <c r="A691" s="18" t="s">
        <v>642</v>
      </c>
      <c r="B691" s="9" t="s">
        <v>624</v>
      </c>
      <c r="C691" s="5" t="s">
        <v>998</v>
      </c>
      <c r="D691" s="5"/>
      <c r="E691" s="4"/>
      <c r="F691" s="4"/>
      <c r="G691" s="4"/>
      <c r="H691" s="4"/>
      <c r="I691" s="4"/>
      <c r="J691" s="4"/>
      <c r="K691" s="4"/>
      <c r="L691" s="4"/>
      <c r="M691" s="7"/>
    </row>
    <row r="692" spans="1:13" x14ac:dyDescent="0.55000000000000004">
      <c r="A692" s="24" t="s">
        <v>922</v>
      </c>
      <c r="B692" s="9" t="s">
        <v>625</v>
      </c>
      <c r="C692" s="5" t="s">
        <v>998</v>
      </c>
      <c r="D692" s="5"/>
      <c r="E692" s="4"/>
      <c r="F692" s="4"/>
      <c r="G692" s="4"/>
      <c r="H692" s="4"/>
      <c r="I692" s="4"/>
      <c r="J692" s="4"/>
      <c r="K692" s="4"/>
      <c r="L692" s="4"/>
      <c r="M692" s="7"/>
    </row>
    <row r="693" spans="1:13" x14ac:dyDescent="0.55000000000000004">
      <c r="B693" s="9" t="s">
        <v>626</v>
      </c>
      <c r="C693" s="5">
        <v>10</v>
      </c>
      <c r="D693" s="5"/>
      <c r="E693" s="4"/>
      <c r="F693" s="4"/>
      <c r="G693" s="4"/>
      <c r="H693" s="4"/>
      <c r="I693" s="4"/>
      <c r="J693" s="4"/>
      <c r="K693" s="4"/>
      <c r="L693" s="4"/>
      <c r="M693" s="7"/>
    </row>
    <row r="694" spans="1:13" x14ac:dyDescent="0.55000000000000004">
      <c r="B694" s="9" t="s">
        <v>627</v>
      </c>
      <c r="C694" s="5" t="s">
        <v>458</v>
      </c>
      <c r="D694" s="5"/>
      <c r="E694" s="4"/>
      <c r="F694" s="4"/>
      <c r="G694" s="4"/>
      <c r="H694" s="4"/>
      <c r="I694" s="4"/>
      <c r="J694" s="4"/>
      <c r="K694" s="4"/>
      <c r="L694" s="4"/>
      <c r="M694" s="7"/>
    </row>
    <row r="695" spans="1:13" x14ac:dyDescent="0.55000000000000004">
      <c r="B695" s="9" t="s">
        <v>628</v>
      </c>
      <c r="C695" s="5" t="s">
        <v>458</v>
      </c>
      <c r="D695" s="5"/>
      <c r="E695" s="4"/>
      <c r="F695" s="4"/>
      <c r="G695" s="4"/>
      <c r="H695" s="4"/>
      <c r="I695" s="4"/>
      <c r="J695" s="4"/>
      <c r="K695" s="4"/>
      <c r="L695" s="4"/>
      <c r="M695" s="7"/>
    </row>
    <row r="696" spans="1:13" x14ac:dyDescent="0.55000000000000004">
      <c r="B696" s="9" t="s">
        <v>629</v>
      </c>
      <c r="C696" s="5" t="s">
        <v>458</v>
      </c>
      <c r="D696" s="5"/>
      <c r="E696" s="4"/>
      <c r="F696" s="4"/>
      <c r="G696" s="4"/>
      <c r="H696" s="4"/>
      <c r="I696" s="4"/>
      <c r="J696" s="4"/>
      <c r="K696" s="4"/>
      <c r="L696" s="4"/>
      <c r="M696" s="7"/>
    </row>
    <row r="697" spans="1:13" x14ac:dyDescent="0.55000000000000004">
      <c r="B697" s="9" t="s">
        <v>630</v>
      </c>
      <c r="C697" s="5" t="s">
        <v>458</v>
      </c>
      <c r="D697" s="5"/>
      <c r="E697" s="4"/>
      <c r="F697" s="4"/>
      <c r="G697" s="4"/>
      <c r="H697" s="4"/>
      <c r="I697" s="4"/>
      <c r="J697" s="4"/>
      <c r="K697" s="4"/>
      <c r="L697" s="4"/>
      <c r="M697" s="7"/>
    </row>
    <row r="698" spans="1:13" x14ac:dyDescent="0.55000000000000004">
      <c r="B698" s="9" t="s">
        <v>631</v>
      </c>
      <c r="C698" s="5" t="s">
        <v>458</v>
      </c>
      <c r="D698" s="5"/>
      <c r="E698" s="4"/>
      <c r="F698" s="4"/>
      <c r="G698" s="4"/>
      <c r="H698" s="4"/>
      <c r="I698" s="4"/>
      <c r="J698" s="4"/>
      <c r="K698" s="4"/>
      <c r="L698" s="4"/>
      <c r="M698" s="7"/>
    </row>
    <row r="699" spans="1:13" x14ac:dyDescent="0.55000000000000004">
      <c r="B699" s="9" t="s">
        <v>632</v>
      </c>
      <c r="C699" s="5" t="s">
        <v>458</v>
      </c>
      <c r="D699" s="5"/>
      <c r="E699" s="4"/>
      <c r="F699" s="4"/>
      <c r="G699" s="4"/>
      <c r="H699" s="4"/>
      <c r="I699" s="4"/>
      <c r="J699" s="4"/>
      <c r="K699" s="4"/>
      <c r="L699" s="4"/>
      <c r="M699" s="7"/>
    </row>
    <row r="700" spans="1:13" x14ac:dyDescent="0.55000000000000004">
      <c r="B700" s="9" t="s">
        <v>634</v>
      </c>
      <c r="C700" s="5" t="s">
        <v>458</v>
      </c>
      <c r="D700" s="5"/>
      <c r="E700" s="4"/>
      <c r="F700" s="4"/>
      <c r="G700" s="4"/>
      <c r="H700" s="4"/>
      <c r="I700" s="4"/>
      <c r="J700" s="4"/>
      <c r="K700" s="4"/>
      <c r="L700" s="4"/>
      <c r="M700" s="7"/>
    </row>
    <row r="701" spans="1:13" x14ac:dyDescent="0.55000000000000004">
      <c r="B701" s="9" t="s">
        <v>635</v>
      </c>
      <c r="C701" s="5" t="s">
        <v>458</v>
      </c>
      <c r="D701" s="5"/>
      <c r="E701" s="4"/>
      <c r="F701" s="4"/>
      <c r="G701" s="4"/>
      <c r="H701" s="4"/>
      <c r="I701" s="4"/>
      <c r="J701" s="4"/>
      <c r="K701" s="4"/>
      <c r="L701" s="4"/>
      <c r="M701" s="7"/>
    </row>
    <row r="702" spans="1:13" x14ac:dyDescent="0.55000000000000004">
      <c r="B702" s="9" t="s">
        <v>636</v>
      </c>
      <c r="C702" s="5" t="s">
        <v>458</v>
      </c>
      <c r="D702" s="5"/>
      <c r="E702" s="4"/>
      <c r="F702" s="4"/>
      <c r="G702" s="4"/>
      <c r="H702" s="4"/>
      <c r="I702" s="4"/>
      <c r="J702" s="4"/>
      <c r="K702" s="4"/>
      <c r="L702" s="4"/>
      <c r="M702" s="7"/>
    </row>
    <row r="703" spans="1:13" x14ac:dyDescent="0.55000000000000004">
      <c r="B703" s="9" t="s">
        <v>637</v>
      </c>
      <c r="C703" s="5" t="s">
        <v>458</v>
      </c>
      <c r="D703" s="5"/>
      <c r="E703" s="4"/>
      <c r="F703" s="4"/>
      <c r="G703" s="4"/>
      <c r="H703" s="4"/>
      <c r="I703" s="4"/>
      <c r="J703" s="4"/>
      <c r="K703" s="4"/>
      <c r="L703" s="4"/>
      <c r="M703" s="7"/>
    </row>
    <row r="704" spans="1:13" x14ac:dyDescent="0.55000000000000004">
      <c r="B704" s="9" t="s">
        <v>638</v>
      </c>
      <c r="C704" s="5" t="s">
        <v>458</v>
      </c>
      <c r="D704" s="5"/>
      <c r="E704" s="4"/>
      <c r="F704" s="4"/>
      <c r="G704" s="4"/>
      <c r="H704" s="4"/>
      <c r="I704" s="4"/>
      <c r="J704" s="4"/>
      <c r="K704" s="4"/>
      <c r="L704" s="4"/>
      <c r="M704" s="7"/>
    </row>
    <row r="705" spans="1:13" x14ac:dyDescent="0.55000000000000004">
      <c r="B705" s="9" t="s">
        <v>639</v>
      </c>
      <c r="C705" s="5" t="s">
        <v>458</v>
      </c>
      <c r="D705" s="5"/>
      <c r="E705" s="4"/>
      <c r="F705" s="4"/>
      <c r="G705" s="4"/>
      <c r="H705" s="4"/>
      <c r="I705" s="4"/>
      <c r="J705" s="4"/>
      <c r="K705" s="4"/>
      <c r="L705" s="4"/>
      <c r="M705" s="7"/>
    </row>
    <row r="706" spans="1:13" x14ac:dyDescent="0.55000000000000004">
      <c r="A706" s="30" t="s">
        <v>923</v>
      </c>
      <c r="B706" s="17"/>
      <c r="C706" s="4" t="s">
        <v>458</v>
      </c>
      <c r="D706" s="4"/>
      <c r="E706" s="4"/>
      <c r="F706" s="4"/>
      <c r="G706" s="4"/>
      <c r="H706" s="4"/>
      <c r="I706" s="4"/>
      <c r="J706" s="4"/>
      <c r="K706" s="4"/>
      <c r="L706" s="4"/>
      <c r="M706" s="7"/>
    </row>
    <row r="707" spans="1:13" x14ac:dyDescent="0.55000000000000004">
      <c r="B707" s="68" t="s">
        <v>641</v>
      </c>
      <c r="C707" s="4" t="s">
        <v>1152</v>
      </c>
      <c r="D707" s="4" t="s">
        <v>165</v>
      </c>
      <c r="E707" s="4" t="s">
        <v>166</v>
      </c>
      <c r="F707" s="4" t="s">
        <v>167</v>
      </c>
      <c r="G707" s="4" t="s">
        <v>168</v>
      </c>
      <c r="H707" s="4" t="s">
        <v>169</v>
      </c>
      <c r="I707" s="4" t="s">
        <v>1153</v>
      </c>
      <c r="J707" s="4" t="s">
        <v>1154</v>
      </c>
      <c r="K707" s="4"/>
      <c r="L707" s="4"/>
      <c r="M707" s="7"/>
    </row>
    <row r="708" spans="1:13" x14ac:dyDescent="0.55000000000000004">
      <c r="B708" s="9" t="s">
        <v>173</v>
      </c>
      <c r="C708" s="5">
        <v>1.2</v>
      </c>
      <c r="D708" s="5"/>
      <c r="E708" s="4"/>
      <c r="F708" s="4"/>
      <c r="G708" s="4"/>
      <c r="H708" s="4"/>
      <c r="I708" s="4"/>
      <c r="J708" s="4"/>
      <c r="K708" s="4"/>
      <c r="L708" s="4"/>
      <c r="M708" s="7"/>
    </row>
    <row r="709" spans="1:13" x14ac:dyDescent="0.55000000000000004">
      <c r="B709" s="9" t="s">
        <v>174</v>
      </c>
      <c r="C709" s="5">
        <v>0.04</v>
      </c>
      <c r="D709" s="5"/>
      <c r="E709" s="4"/>
      <c r="F709" s="4"/>
      <c r="G709" s="4"/>
      <c r="H709" s="4"/>
      <c r="I709" s="4"/>
      <c r="J709" s="4"/>
      <c r="K709" s="4"/>
      <c r="L709" s="4"/>
      <c r="M709" s="7"/>
    </row>
    <row r="710" spans="1:13" x14ac:dyDescent="0.55000000000000004">
      <c r="B710" s="9" t="s">
        <v>175</v>
      </c>
      <c r="C710" s="5">
        <v>0.04</v>
      </c>
      <c r="D710" s="5"/>
      <c r="E710" s="4"/>
      <c r="F710" s="4"/>
      <c r="G710" s="4"/>
      <c r="H710" s="4"/>
      <c r="I710" s="4"/>
      <c r="J710" s="4"/>
      <c r="K710" s="4"/>
      <c r="L710" s="4"/>
      <c r="M710" s="7"/>
    </row>
    <row r="711" spans="1:13" x14ac:dyDescent="0.55000000000000004">
      <c r="B711" s="9" t="s">
        <v>176</v>
      </c>
      <c r="C711" s="5">
        <v>0.1</v>
      </c>
      <c r="D711" s="5"/>
      <c r="E711" s="4"/>
      <c r="F711" s="4"/>
      <c r="G711" s="4"/>
      <c r="H711" s="4"/>
      <c r="I711" s="4"/>
      <c r="J711" s="4"/>
      <c r="K711" s="4"/>
      <c r="L711" s="4"/>
      <c r="M711" s="7"/>
    </row>
    <row r="712" spans="1:13" x14ac:dyDescent="0.55000000000000004">
      <c r="B712" s="9" t="s">
        <v>640</v>
      </c>
      <c r="C712" s="5">
        <v>1E-3</v>
      </c>
      <c r="D712" s="5"/>
      <c r="E712" s="4"/>
      <c r="F712" s="4"/>
      <c r="G712" s="4"/>
      <c r="H712" s="4"/>
      <c r="I712" s="4"/>
      <c r="J712" s="4"/>
      <c r="K712" s="4"/>
      <c r="L712" s="4"/>
      <c r="M712" s="7"/>
    </row>
    <row r="713" spans="1:13" x14ac:dyDescent="0.55000000000000004">
      <c r="B713" s="9" t="s">
        <v>449</v>
      </c>
      <c r="C713" s="5">
        <v>3.0000000000000001E-3</v>
      </c>
      <c r="D713" s="5"/>
      <c r="E713" s="4"/>
      <c r="F713" s="4"/>
      <c r="G713" s="4"/>
      <c r="H713" s="4"/>
      <c r="I713" s="4"/>
      <c r="J713" s="4"/>
      <c r="K713" s="4"/>
      <c r="L713" s="4"/>
      <c r="M713" s="7"/>
    </row>
    <row r="714" spans="1:13" x14ac:dyDescent="0.55000000000000004">
      <c r="B714" s="9" t="s">
        <v>450</v>
      </c>
      <c r="C714" s="5">
        <v>1.4E-2</v>
      </c>
      <c r="D714" s="5"/>
      <c r="E714" s="4"/>
      <c r="F714" s="4"/>
      <c r="G714" s="4"/>
      <c r="H714" s="4"/>
      <c r="I714" s="4"/>
      <c r="J714" s="4"/>
      <c r="K714" s="4"/>
      <c r="L714" s="4"/>
      <c r="M714" s="7"/>
    </row>
    <row r="715" spans="1:13" x14ac:dyDescent="0.55000000000000004">
      <c r="B715" s="9" t="s">
        <v>451</v>
      </c>
      <c r="C715" s="5">
        <v>0</v>
      </c>
      <c r="D715" s="5"/>
      <c r="E715" s="4"/>
      <c r="F715" s="4"/>
      <c r="G715" s="4"/>
      <c r="H715" s="4"/>
      <c r="I715" s="4"/>
      <c r="J715" s="4"/>
      <c r="K715" s="4"/>
      <c r="L715" s="4"/>
      <c r="M715" s="7"/>
    </row>
    <row r="716" spans="1:13" x14ac:dyDescent="0.55000000000000004">
      <c r="B716" s="9" t="s">
        <v>177</v>
      </c>
      <c r="C716" s="5">
        <v>150</v>
      </c>
      <c r="D716" s="5"/>
      <c r="E716" s="4"/>
      <c r="F716" s="4"/>
      <c r="G716" s="4"/>
      <c r="H716" s="4"/>
      <c r="I716" s="4"/>
      <c r="J716" s="4"/>
      <c r="K716" s="4"/>
      <c r="L716" s="4"/>
      <c r="M716" s="7"/>
    </row>
    <row r="717" spans="1:13" x14ac:dyDescent="0.55000000000000004">
      <c r="B717" s="9" t="s">
        <v>644</v>
      </c>
      <c r="C717" s="5">
        <v>25</v>
      </c>
      <c r="D717" s="5"/>
      <c r="E717" s="4"/>
      <c r="F717" s="4"/>
      <c r="G717" s="4"/>
      <c r="H717" s="4"/>
      <c r="I717" s="4"/>
      <c r="J717" s="4"/>
      <c r="K717" s="4"/>
      <c r="L717" s="4"/>
      <c r="M717" s="7"/>
    </row>
    <row r="718" spans="1:13" x14ac:dyDescent="0.55000000000000004">
      <c r="B718" s="9" t="s">
        <v>645</v>
      </c>
      <c r="C718" s="5">
        <v>2</v>
      </c>
      <c r="D718" s="5"/>
      <c r="E718" s="4"/>
      <c r="F718" s="4"/>
      <c r="G718" s="4"/>
      <c r="H718" s="4"/>
      <c r="I718" s="4"/>
      <c r="J718" s="4"/>
      <c r="K718" s="4"/>
      <c r="L718" s="4"/>
      <c r="M718" s="7"/>
    </row>
    <row r="719" spans="1:13" x14ac:dyDescent="0.55000000000000004">
      <c r="B719" s="9" t="s">
        <v>646</v>
      </c>
      <c r="C719" s="5">
        <v>5.0000000000000001E-3</v>
      </c>
      <c r="D719" s="5"/>
      <c r="E719" s="4"/>
      <c r="F719" s="4"/>
      <c r="G719" s="4"/>
      <c r="H719" s="4"/>
      <c r="I719" s="4"/>
      <c r="J719" s="4"/>
      <c r="K719" s="4"/>
      <c r="L719" s="4"/>
      <c r="M719" s="7"/>
    </row>
    <row r="720" spans="1:13" x14ac:dyDescent="0.55000000000000004">
      <c r="B720" s="9" t="s">
        <v>647</v>
      </c>
      <c r="C720" s="5">
        <v>1</v>
      </c>
      <c r="D720" s="5"/>
      <c r="E720" s="4"/>
      <c r="F720" s="4"/>
      <c r="G720" s="4"/>
      <c r="H720" s="4"/>
      <c r="I720" s="4"/>
      <c r="J720" s="4"/>
      <c r="K720" s="4"/>
      <c r="L720" s="4"/>
      <c r="M720" s="7"/>
    </row>
    <row r="721" spans="2:13" x14ac:dyDescent="0.55000000000000004">
      <c r="B721" s="9" t="s">
        <v>652</v>
      </c>
      <c r="C721" s="5">
        <v>3</v>
      </c>
      <c r="D721" s="5"/>
      <c r="E721" s="4"/>
      <c r="F721" s="4"/>
      <c r="G721" s="4"/>
      <c r="H721" s="4"/>
      <c r="I721" s="4"/>
      <c r="J721" s="4"/>
      <c r="K721" s="4"/>
      <c r="L721" s="4"/>
      <c r="M721" s="7"/>
    </row>
    <row r="722" spans="2:13" x14ac:dyDescent="0.55000000000000004">
      <c r="B722" s="9" t="s">
        <v>653</v>
      </c>
      <c r="C722" s="5">
        <v>20</v>
      </c>
      <c r="D722" s="5"/>
      <c r="E722" s="4"/>
      <c r="F722" s="4"/>
      <c r="G722" s="4"/>
      <c r="H722" s="4"/>
      <c r="I722" s="4"/>
      <c r="J722" s="4"/>
      <c r="K722" s="4"/>
      <c r="L722" s="4"/>
      <c r="M722" s="7"/>
    </row>
    <row r="723" spans="2:13" x14ac:dyDescent="0.55000000000000004">
      <c r="B723" s="9" t="s">
        <v>654</v>
      </c>
      <c r="C723" s="5">
        <v>30</v>
      </c>
      <c r="D723" s="5"/>
      <c r="E723" s="4"/>
      <c r="F723" s="4"/>
      <c r="G723" s="4"/>
      <c r="H723" s="4"/>
      <c r="I723" s="4"/>
      <c r="J723" s="4"/>
      <c r="K723" s="4"/>
      <c r="L723" s="4"/>
      <c r="M723" s="7"/>
    </row>
    <row r="724" spans="2:13" x14ac:dyDescent="0.55000000000000004">
      <c r="B724" s="9" t="s">
        <v>648</v>
      </c>
      <c r="C724" s="5">
        <v>0.3</v>
      </c>
      <c r="D724" s="5"/>
      <c r="E724" s="4"/>
      <c r="F724" s="4"/>
      <c r="G724" s="4"/>
      <c r="H724" s="4"/>
      <c r="I724" s="4"/>
      <c r="J724" s="4"/>
      <c r="K724" s="4"/>
      <c r="L724" s="4"/>
      <c r="M724" s="7"/>
    </row>
    <row r="725" spans="2:13" x14ac:dyDescent="0.55000000000000004">
      <c r="B725" s="9" t="s">
        <v>649</v>
      </c>
      <c r="C725" s="5">
        <v>0.99</v>
      </c>
      <c r="D725" s="5"/>
      <c r="E725" s="4"/>
      <c r="F725" s="4"/>
      <c r="G725" s="4"/>
      <c r="H725" s="4"/>
      <c r="I725" s="4"/>
      <c r="J725" s="4"/>
      <c r="K725" s="4"/>
      <c r="L725" s="4"/>
      <c r="M725" s="4"/>
    </row>
    <row r="726" spans="2:13" x14ac:dyDescent="0.55000000000000004">
      <c r="B726" s="9" t="s">
        <v>650</v>
      </c>
      <c r="C726" s="5">
        <v>0.99</v>
      </c>
      <c r="D726" s="5"/>
      <c r="E726" s="4"/>
      <c r="F726" s="4"/>
      <c r="G726" s="4"/>
      <c r="H726" s="4"/>
      <c r="I726" s="4"/>
      <c r="J726" s="4"/>
      <c r="K726" s="4"/>
      <c r="L726" s="4"/>
      <c r="M726" s="4"/>
    </row>
    <row r="727" spans="2:13" x14ac:dyDescent="0.55000000000000004">
      <c r="B727" s="9" t="s">
        <v>651</v>
      </c>
      <c r="C727" s="5">
        <v>0.1</v>
      </c>
      <c r="D727" s="5"/>
      <c r="E727" s="4"/>
      <c r="F727" s="4"/>
      <c r="G727" s="4"/>
      <c r="H727" s="4"/>
      <c r="I727" s="4"/>
      <c r="J727" s="4"/>
      <c r="K727" s="4"/>
      <c r="L727" s="4"/>
      <c r="M727" s="4"/>
    </row>
    <row r="728" spans="2:13" x14ac:dyDescent="0.55000000000000004">
      <c r="B728" s="9" t="s">
        <v>655</v>
      </c>
      <c r="C728" s="5">
        <v>5.0000000000000001E-3</v>
      </c>
      <c r="D728" s="5"/>
      <c r="E728" s="4"/>
      <c r="F728" s="4"/>
      <c r="G728" s="4"/>
      <c r="H728" s="4"/>
      <c r="I728" s="4"/>
      <c r="J728" s="4"/>
      <c r="K728" s="4"/>
      <c r="L728" s="4"/>
      <c r="M728" s="4"/>
    </row>
    <row r="729" spans="2:13" x14ac:dyDescent="0.55000000000000004">
      <c r="B729" s="9" t="s">
        <v>656</v>
      </c>
      <c r="C729" s="5">
        <v>0.08</v>
      </c>
      <c r="D729" s="5"/>
      <c r="E729" s="4"/>
      <c r="F729" s="4"/>
      <c r="G729" s="4"/>
      <c r="H729" s="4"/>
      <c r="I729" s="4"/>
      <c r="J729" s="4"/>
      <c r="K729" s="4"/>
      <c r="L729" s="4"/>
      <c r="M729" s="4"/>
    </row>
    <row r="730" spans="2:13" x14ac:dyDescent="0.55000000000000004">
      <c r="B730" s="9" t="s">
        <v>657</v>
      </c>
      <c r="C730" s="5">
        <v>0.45</v>
      </c>
      <c r="D730" s="5"/>
      <c r="E730" s="4"/>
      <c r="F730" s="4"/>
      <c r="G730" s="4"/>
      <c r="H730" s="4"/>
      <c r="I730" s="4"/>
      <c r="J730" s="4"/>
      <c r="K730" s="4"/>
      <c r="L730" s="4"/>
      <c r="M730" s="4"/>
    </row>
    <row r="731" spans="2:13" x14ac:dyDescent="0.55000000000000004">
      <c r="B731" s="9" t="s">
        <v>658</v>
      </c>
      <c r="C731" s="5">
        <v>0</v>
      </c>
      <c r="D731" s="5"/>
      <c r="E731" s="4"/>
      <c r="F731" s="4"/>
      <c r="G731" s="4"/>
      <c r="H731" s="4"/>
      <c r="I731" s="4"/>
      <c r="J731" s="4"/>
      <c r="K731" s="4"/>
      <c r="L731" s="4"/>
      <c r="M731" s="4"/>
    </row>
    <row r="732" spans="2:13" x14ac:dyDescent="0.55000000000000004">
      <c r="B732" s="9" t="s">
        <v>659</v>
      </c>
      <c r="C732" s="5">
        <v>0.65</v>
      </c>
      <c r="D732" s="5"/>
      <c r="E732" s="4"/>
      <c r="F732" s="4"/>
      <c r="G732" s="4"/>
      <c r="H732" s="4"/>
      <c r="I732" s="4"/>
      <c r="J732" s="4"/>
      <c r="K732" s="4"/>
      <c r="L732" s="4"/>
      <c r="M732" s="4"/>
    </row>
    <row r="733" spans="2:13" x14ac:dyDescent="0.55000000000000004">
      <c r="B733" s="9" t="s">
        <v>660</v>
      </c>
      <c r="C733" s="5">
        <v>0.8</v>
      </c>
      <c r="D733" s="5"/>
      <c r="E733" s="4"/>
      <c r="F733" s="4"/>
      <c r="G733" s="4"/>
      <c r="H733" s="4"/>
      <c r="I733" s="4"/>
      <c r="J733" s="4"/>
      <c r="K733" s="4"/>
      <c r="L733" s="4"/>
      <c r="M733" s="4"/>
    </row>
    <row r="734" spans="2:13" x14ac:dyDescent="0.55000000000000004">
      <c r="B734" s="9" t="s">
        <v>809</v>
      </c>
      <c r="C734" s="5">
        <v>1.1000000000000001</v>
      </c>
      <c r="D734" s="4"/>
      <c r="E734" s="4"/>
      <c r="F734" s="4"/>
      <c r="G734" s="4"/>
      <c r="H734" s="4"/>
      <c r="I734" s="4"/>
      <c r="J734" s="4"/>
      <c r="K734" s="4"/>
      <c r="L734" s="4"/>
      <c r="M734" s="4"/>
    </row>
    <row r="735" spans="2:13" x14ac:dyDescent="0.55000000000000004">
      <c r="B735" s="9" t="s">
        <v>1223</v>
      </c>
      <c r="C735" s="5">
        <v>1.8</v>
      </c>
      <c r="D735" s="4"/>
      <c r="E735" s="4"/>
      <c r="F735" s="4"/>
      <c r="G735" s="4"/>
      <c r="H735" s="4"/>
      <c r="I735" s="4"/>
      <c r="J735" s="4"/>
      <c r="K735" s="4"/>
      <c r="L735" s="4"/>
      <c r="M735" s="4"/>
    </row>
    <row r="736" spans="2:13" x14ac:dyDescent="0.55000000000000004">
      <c r="B736" s="16"/>
      <c r="C736" s="4" t="s">
        <v>458</v>
      </c>
      <c r="D736" s="4"/>
      <c r="E736" s="4"/>
      <c r="F736" s="4"/>
      <c r="G736" s="4"/>
      <c r="H736" s="4"/>
      <c r="I736" s="4"/>
      <c r="J736" s="4"/>
      <c r="K736" s="4"/>
      <c r="L736" s="4"/>
      <c r="M736" s="4"/>
    </row>
    <row r="737" spans="1:13" x14ac:dyDescent="0.55000000000000004">
      <c r="B737" s="61" t="s">
        <v>661</v>
      </c>
      <c r="C737" s="4" t="s">
        <v>72</v>
      </c>
      <c r="D737" s="4" t="s">
        <v>965</v>
      </c>
      <c r="E737" s="4" t="s">
        <v>966</v>
      </c>
      <c r="F737" s="4" t="s">
        <v>967</v>
      </c>
      <c r="G737" s="4" t="s">
        <v>968</v>
      </c>
      <c r="H737" s="4" t="s">
        <v>969</v>
      </c>
      <c r="I737" s="4" t="s">
        <v>970</v>
      </c>
      <c r="J737" s="4"/>
      <c r="K737" s="4"/>
      <c r="L737" s="4"/>
      <c r="M737" s="4"/>
    </row>
    <row r="738" spans="1:13" x14ac:dyDescent="0.55000000000000004">
      <c r="B738" s="9" t="s">
        <v>170</v>
      </c>
      <c r="C738" s="5">
        <v>1.5</v>
      </c>
      <c r="D738" s="5"/>
      <c r="E738" s="4"/>
      <c r="F738" s="4"/>
      <c r="G738" s="4"/>
      <c r="H738" s="4"/>
      <c r="I738" s="4"/>
      <c r="J738" s="4"/>
      <c r="K738" s="4"/>
      <c r="L738" s="4"/>
      <c r="M738" s="4"/>
    </row>
    <row r="739" spans="1:13" x14ac:dyDescent="0.55000000000000004">
      <c r="B739" s="9" t="s">
        <v>171</v>
      </c>
      <c r="C739" s="5">
        <v>0.1</v>
      </c>
      <c r="D739" s="5"/>
      <c r="E739" s="4"/>
      <c r="F739" s="4"/>
      <c r="G739" s="4"/>
      <c r="H739" s="4"/>
      <c r="I739" s="4"/>
      <c r="J739" s="4"/>
      <c r="K739" s="4"/>
      <c r="L739" s="4"/>
      <c r="M739" s="4"/>
    </row>
    <row r="740" spans="1:13" x14ac:dyDescent="0.55000000000000004">
      <c r="B740" s="9" t="s">
        <v>172</v>
      </c>
      <c r="C740" s="5">
        <v>0.01</v>
      </c>
      <c r="D740" s="5"/>
      <c r="E740" s="4"/>
      <c r="F740" s="4"/>
      <c r="G740" s="4"/>
      <c r="H740" s="4"/>
      <c r="I740" s="4"/>
      <c r="J740" s="4"/>
      <c r="K740" s="4"/>
      <c r="L740" s="4"/>
      <c r="M740" s="4"/>
    </row>
    <row r="741" spans="1:13" x14ac:dyDescent="0.55000000000000004">
      <c r="B741" s="9" t="s">
        <v>662</v>
      </c>
      <c r="C741" s="5">
        <v>0.5</v>
      </c>
      <c r="D741" s="5"/>
      <c r="E741" s="4"/>
      <c r="F741" s="4"/>
      <c r="G741" s="4"/>
      <c r="H741" s="4"/>
      <c r="I741" s="4"/>
      <c r="J741" s="4"/>
      <c r="K741" s="4"/>
      <c r="L741" s="4"/>
      <c r="M741" s="4"/>
    </row>
    <row r="742" spans="1:13" x14ac:dyDescent="0.55000000000000004">
      <c r="B742" s="9" t="s">
        <v>663</v>
      </c>
      <c r="C742" s="5">
        <v>0.5</v>
      </c>
      <c r="D742" s="5"/>
      <c r="E742" s="4"/>
      <c r="F742" s="4"/>
      <c r="G742" s="4"/>
      <c r="H742" s="4"/>
      <c r="I742" s="4"/>
      <c r="J742" s="4"/>
      <c r="K742" s="4"/>
      <c r="L742" s="4"/>
      <c r="M742" s="4"/>
    </row>
    <row r="743" spans="1:13" x14ac:dyDescent="0.55000000000000004">
      <c r="B743" s="9" t="s">
        <v>664</v>
      </c>
      <c r="C743" s="5">
        <v>0.01</v>
      </c>
      <c r="D743" s="5"/>
      <c r="E743" s="4"/>
      <c r="F743" s="4"/>
      <c r="G743" s="4"/>
      <c r="H743" s="4"/>
      <c r="I743" s="4"/>
      <c r="J743" s="4"/>
      <c r="K743" s="4"/>
      <c r="L743" s="4"/>
      <c r="M743" s="4"/>
    </row>
    <row r="744" spans="1:13" x14ac:dyDescent="0.55000000000000004">
      <c r="B744" s="9" t="s">
        <v>665</v>
      </c>
      <c r="C744" s="5">
        <v>0.3</v>
      </c>
      <c r="D744" s="5"/>
      <c r="E744" s="4"/>
      <c r="F744" s="4"/>
      <c r="G744" s="4"/>
      <c r="H744" s="4"/>
      <c r="I744" s="4"/>
      <c r="J744" s="4"/>
      <c r="K744" s="4"/>
      <c r="L744" s="4"/>
      <c r="M744" s="4"/>
    </row>
    <row r="745" spans="1:13" x14ac:dyDescent="0.55000000000000004">
      <c r="A745" s="24" t="s">
        <v>1595</v>
      </c>
      <c r="B745" s="9" t="s">
        <v>1594</v>
      </c>
      <c r="C745" s="5">
        <v>0</v>
      </c>
      <c r="D745" s="5"/>
      <c r="E745" s="4"/>
      <c r="F745" s="4"/>
      <c r="G745" s="4"/>
      <c r="H745" s="4"/>
      <c r="I745" s="4"/>
      <c r="J745" s="4"/>
      <c r="K745" s="4"/>
      <c r="L745" s="4"/>
      <c r="M745" s="4"/>
    </row>
    <row r="746" spans="1:13" x14ac:dyDescent="0.55000000000000004">
      <c r="B746" s="9" t="s">
        <v>671</v>
      </c>
      <c r="C746" s="5">
        <v>0</v>
      </c>
      <c r="D746" s="5"/>
      <c r="E746" s="4"/>
      <c r="F746" s="4"/>
      <c r="G746" s="4"/>
      <c r="H746" s="4"/>
      <c r="I746" s="4"/>
      <c r="J746" s="4"/>
      <c r="K746" s="4"/>
      <c r="L746" s="4"/>
      <c r="M746" s="4"/>
    </row>
    <row r="747" spans="1:13" x14ac:dyDescent="0.55000000000000004">
      <c r="B747" s="9" t="s">
        <v>672</v>
      </c>
      <c r="C747" s="5">
        <v>15</v>
      </c>
      <c r="D747" s="5"/>
      <c r="E747" s="4"/>
      <c r="F747" s="4"/>
      <c r="G747" s="4"/>
      <c r="H747" s="4"/>
      <c r="I747" s="4"/>
      <c r="J747" s="4"/>
      <c r="K747" s="4"/>
      <c r="L747" s="4"/>
      <c r="M747" s="4"/>
    </row>
    <row r="748" spans="1:13" x14ac:dyDescent="0.55000000000000004">
      <c r="B748" s="9" t="s">
        <v>673</v>
      </c>
      <c r="C748" s="5">
        <v>20</v>
      </c>
      <c r="D748" s="5"/>
      <c r="E748" s="4"/>
      <c r="F748" s="4"/>
      <c r="G748" s="4"/>
      <c r="H748" s="4"/>
      <c r="I748" s="4"/>
      <c r="J748" s="4"/>
      <c r="K748" s="4"/>
      <c r="L748" s="4"/>
      <c r="M748" s="4"/>
    </row>
    <row r="749" spans="1:13" x14ac:dyDescent="0.55000000000000004">
      <c r="B749" s="9" t="s">
        <v>670</v>
      </c>
      <c r="C749" s="5">
        <v>36</v>
      </c>
      <c r="D749" s="5"/>
      <c r="E749" s="4"/>
      <c r="F749" s="4"/>
      <c r="G749" s="4"/>
      <c r="H749" s="4"/>
      <c r="I749" s="4"/>
      <c r="J749" s="4"/>
      <c r="K749" s="4"/>
      <c r="L749" s="4"/>
      <c r="M749" s="4"/>
    </row>
    <row r="750" spans="1:13" x14ac:dyDescent="0.55000000000000004">
      <c r="B750" s="9" t="s">
        <v>669</v>
      </c>
      <c r="C750" s="5">
        <v>0.1</v>
      </c>
      <c r="D750" s="5"/>
      <c r="E750" s="4"/>
      <c r="F750" s="4"/>
      <c r="G750" s="4"/>
      <c r="H750" s="4"/>
      <c r="I750" s="4"/>
      <c r="J750" s="4"/>
      <c r="K750" s="4"/>
      <c r="L750" s="4"/>
      <c r="M750" s="4"/>
    </row>
    <row r="751" spans="1:13" x14ac:dyDescent="0.55000000000000004">
      <c r="B751" s="9" t="s">
        <v>667</v>
      </c>
      <c r="C751" s="5">
        <v>0.9</v>
      </c>
      <c r="D751" s="4"/>
      <c r="E751" s="4"/>
      <c r="F751" s="4"/>
      <c r="G751" s="4"/>
      <c r="H751" s="4"/>
      <c r="I751" s="4"/>
      <c r="J751" s="4"/>
      <c r="K751" s="4"/>
      <c r="L751" s="4"/>
      <c r="M751" s="4"/>
    </row>
    <row r="752" spans="1:13" x14ac:dyDescent="0.55000000000000004">
      <c r="B752" s="9" t="s">
        <v>666</v>
      </c>
      <c r="C752" s="5">
        <v>0.98</v>
      </c>
      <c r="D752" s="4"/>
      <c r="E752" s="4"/>
      <c r="F752" s="4"/>
      <c r="G752" s="4"/>
      <c r="H752" s="4"/>
      <c r="I752" s="4"/>
      <c r="J752" s="4"/>
      <c r="K752" s="4"/>
      <c r="L752" s="4"/>
      <c r="M752" s="4"/>
    </row>
    <row r="753" spans="1:13" x14ac:dyDescent="0.55000000000000004">
      <c r="B753" s="9" t="s">
        <v>668</v>
      </c>
      <c r="C753" s="5">
        <v>0.1</v>
      </c>
      <c r="D753" s="5"/>
      <c r="E753" s="4"/>
      <c r="F753" s="4"/>
      <c r="G753" s="4"/>
      <c r="H753" s="4"/>
      <c r="I753" s="4"/>
      <c r="J753" s="4"/>
      <c r="K753" s="4"/>
      <c r="L753" s="4"/>
      <c r="M753" s="4"/>
    </row>
    <row r="754" spans="1:13" x14ac:dyDescent="0.55000000000000004">
      <c r="B754" s="9" t="s">
        <v>702</v>
      </c>
      <c r="C754" s="5">
        <v>1.4999999999999999E-2</v>
      </c>
      <c r="D754" s="5"/>
      <c r="E754" s="4"/>
      <c r="F754" s="4"/>
      <c r="G754" s="4"/>
      <c r="H754" s="4"/>
      <c r="I754" s="4"/>
      <c r="J754" s="4"/>
      <c r="K754" s="4"/>
      <c r="L754" s="4"/>
      <c r="M754" s="4"/>
    </row>
    <row r="755" spans="1:13" x14ac:dyDescent="0.55000000000000004">
      <c r="B755" s="9" t="s">
        <v>703</v>
      </c>
      <c r="C755" s="5">
        <v>0.08</v>
      </c>
      <c r="D755" s="5"/>
      <c r="E755" s="4"/>
      <c r="F755" s="4"/>
      <c r="G755" s="4"/>
      <c r="H755" s="4"/>
      <c r="I755" s="4"/>
      <c r="J755" s="4"/>
      <c r="K755" s="4"/>
      <c r="L755" s="4"/>
      <c r="M755" s="4"/>
    </row>
    <row r="756" spans="1:13" x14ac:dyDescent="0.55000000000000004">
      <c r="B756" s="9" t="s">
        <v>704</v>
      </c>
      <c r="C756" s="5">
        <v>0.45</v>
      </c>
      <c r="D756" s="5"/>
      <c r="E756" s="4"/>
      <c r="F756" s="4"/>
      <c r="G756" s="4"/>
      <c r="H756" s="4"/>
      <c r="I756" s="4"/>
      <c r="J756" s="4"/>
      <c r="K756" s="4"/>
      <c r="L756" s="4"/>
      <c r="M756" s="4"/>
    </row>
    <row r="757" spans="1:13" x14ac:dyDescent="0.55000000000000004">
      <c r="B757" s="9" t="s">
        <v>808</v>
      </c>
      <c r="C757" s="5">
        <v>1.1000000000000001</v>
      </c>
      <c r="D757" s="5"/>
      <c r="E757" s="4"/>
      <c r="F757" s="4"/>
      <c r="G757" s="4"/>
      <c r="H757" s="4"/>
      <c r="I757" s="4"/>
      <c r="J757" s="4"/>
      <c r="K757" s="4"/>
      <c r="L757" s="4"/>
      <c r="M757" s="4"/>
    </row>
    <row r="758" spans="1:13" x14ac:dyDescent="0.55000000000000004">
      <c r="B758" s="9" t="s">
        <v>715</v>
      </c>
      <c r="C758" s="5">
        <v>1</v>
      </c>
      <c r="D758" s="5"/>
      <c r="E758" s="4"/>
      <c r="F758" s="4"/>
      <c r="G758" s="4"/>
      <c r="H758" s="4"/>
      <c r="I758" s="4"/>
      <c r="J758" s="4"/>
      <c r="K758" s="4"/>
      <c r="L758" s="4"/>
      <c r="M758" s="4"/>
    </row>
    <row r="759" spans="1:13" x14ac:dyDescent="0.55000000000000004">
      <c r="A759" t="s">
        <v>1224</v>
      </c>
      <c r="B759" s="9" t="s">
        <v>716</v>
      </c>
      <c r="C759" s="5">
        <v>0.5</v>
      </c>
      <c r="D759" s="5"/>
      <c r="E759" s="4"/>
      <c r="F759" s="4"/>
      <c r="G759" s="4"/>
      <c r="H759" s="4"/>
      <c r="I759" s="4"/>
      <c r="J759" s="4"/>
      <c r="K759" s="4"/>
      <c r="L759" s="4"/>
      <c r="M759" s="4"/>
    </row>
    <row r="760" spans="1:13" x14ac:dyDescent="0.55000000000000004">
      <c r="A760" t="s">
        <v>257</v>
      </c>
      <c r="B760" s="9" t="s">
        <v>717</v>
      </c>
      <c r="C760" s="5">
        <v>0.5</v>
      </c>
      <c r="D760" s="5"/>
      <c r="E760" s="4"/>
      <c r="F760" s="4"/>
      <c r="G760" s="4"/>
      <c r="H760" s="4"/>
      <c r="I760" s="4"/>
      <c r="J760" s="4"/>
      <c r="K760" s="4"/>
      <c r="L760" s="4"/>
      <c r="M760" s="4"/>
    </row>
    <row r="761" spans="1:13" x14ac:dyDescent="0.55000000000000004">
      <c r="B761" s="9" t="s">
        <v>708</v>
      </c>
      <c r="C761" s="5" t="s">
        <v>458</v>
      </c>
      <c r="D761" s="5"/>
      <c r="E761" s="4"/>
      <c r="F761" s="4"/>
      <c r="G761" s="4"/>
      <c r="H761" s="4"/>
      <c r="I761" s="4"/>
      <c r="J761" s="4"/>
      <c r="K761" s="4"/>
      <c r="L761" s="4"/>
      <c r="M761" s="4"/>
    </row>
    <row r="762" spans="1:13" x14ac:dyDescent="0.55000000000000004">
      <c r="B762" s="9" t="s">
        <v>709</v>
      </c>
      <c r="C762" s="5" t="s">
        <v>458</v>
      </c>
      <c r="D762" s="5"/>
      <c r="E762" s="4"/>
      <c r="F762" s="4"/>
      <c r="G762" s="4"/>
      <c r="H762" s="4"/>
      <c r="I762" s="4"/>
      <c r="J762" s="4"/>
      <c r="K762" s="4"/>
      <c r="L762" s="4"/>
      <c r="M762" s="4"/>
    </row>
    <row r="763" spans="1:13" x14ac:dyDescent="0.55000000000000004">
      <c r="A763" s="30" t="s">
        <v>973</v>
      </c>
      <c r="B763" s="9" t="s">
        <v>710</v>
      </c>
      <c r="C763" s="5">
        <v>0</v>
      </c>
      <c r="D763" s="5"/>
      <c r="E763" s="4"/>
      <c r="F763" s="4"/>
      <c r="G763" s="4"/>
      <c r="H763" s="4"/>
      <c r="I763" s="4"/>
      <c r="J763" s="4"/>
      <c r="K763" s="4"/>
      <c r="L763" s="4"/>
      <c r="M763" s="4"/>
    </row>
    <row r="764" spans="1:13" x14ac:dyDescent="0.55000000000000004">
      <c r="B764" s="9" t="s">
        <v>711</v>
      </c>
      <c r="C764" s="5" t="s">
        <v>458</v>
      </c>
      <c r="D764" s="5"/>
      <c r="E764" s="4"/>
      <c r="F764" s="4"/>
      <c r="G764" s="4"/>
      <c r="H764" s="4"/>
      <c r="I764" s="4"/>
      <c r="J764" s="4"/>
      <c r="K764" s="4"/>
      <c r="L764" s="4"/>
      <c r="M764" s="4"/>
    </row>
    <row r="765" spans="1:13" x14ac:dyDescent="0.55000000000000004">
      <c r="B765" s="9" t="s">
        <v>712</v>
      </c>
      <c r="C765" s="5" t="s">
        <v>458</v>
      </c>
      <c r="D765" s="5"/>
      <c r="E765" s="4"/>
      <c r="F765" s="4"/>
      <c r="G765" s="4"/>
      <c r="H765" s="4"/>
      <c r="I765" s="4"/>
      <c r="J765" s="4"/>
      <c r="K765" s="4"/>
      <c r="L765" s="4"/>
      <c r="M765" s="4"/>
    </row>
    <row r="766" spans="1:13" x14ac:dyDescent="0.55000000000000004">
      <c r="B766" s="9" t="s">
        <v>713</v>
      </c>
      <c r="C766" s="5" t="s">
        <v>458</v>
      </c>
      <c r="D766" s="5"/>
      <c r="E766" s="4"/>
      <c r="F766" s="4"/>
      <c r="G766" s="4"/>
      <c r="H766" s="4"/>
      <c r="I766" s="4"/>
      <c r="J766" s="4"/>
      <c r="K766" s="4"/>
      <c r="L766" s="4"/>
      <c r="M766" s="4"/>
    </row>
    <row r="767" spans="1:13" x14ac:dyDescent="0.55000000000000004">
      <c r="B767" s="9" t="s">
        <v>714</v>
      </c>
      <c r="C767" s="5" t="s">
        <v>458</v>
      </c>
      <c r="D767" s="5"/>
      <c r="E767" s="4"/>
      <c r="F767" s="4"/>
      <c r="G767" s="4"/>
      <c r="H767" s="4"/>
      <c r="I767" s="4"/>
      <c r="J767" s="4"/>
      <c r="K767" s="4"/>
      <c r="L767" s="4"/>
      <c r="M767" s="4"/>
    </row>
    <row r="768" spans="1:13" x14ac:dyDescent="0.55000000000000004">
      <c r="A768" s="30" t="s">
        <v>972</v>
      </c>
      <c r="B768" s="16"/>
      <c r="C768" s="4" t="s">
        <v>458</v>
      </c>
      <c r="D768" s="4"/>
      <c r="E768" s="4"/>
      <c r="F768" s="4"/>
      <c r="G768" s="4"/>
      <c r="H768" s="4"/>
      <c r="I768" s="4"/>
      <c r="J768" s="4"/>
      <c r="K768" s="4"/>
      <c r="L768" s="4"/>
      <c r="M768" s="4"/>
    </row>
    <row r="769" spans="1:13" x14ac:dyDescent="0.55000000000000004">
      <c r="B769" s="61" t="s">
        <v>731</v>
      </c>
      <c r="C769" s="4" t="s">
        <v>82</v>
      </c>
      <c r="D769" s="4" t="s">
        <v>83</v>
      </c>
      <c r="E769" s="4" t="s">
        <v>84</v>
      </c>
      <c r="F769" s="4" t="s">
        <v>85</v>
      </c>
      <c r="G769" s="4" t="s">
        <v>86</v>
      </c>
      <c r="H769" s="4" t="s">
        <v>87</v>
      </c>
      <c r="I769" s="4" t="s">
        <v>88</v>
      </c>
      <c r="J769" s="4" t="s">
        <v>89</v>
      </c>
      <c r="K769" s="4" t="s">
        <v>93</v>
      </c>
      <c r="L769" s="4" t="s">
        <v>94</v>
      </c>
      <c r="M769" s="4"/>
    </row>
    <row r="770" spans="1:13" x14ac:dyDescent="0.55000000000000004">
      <c r="A770" t="s">
        <v>209</v>
      </c>
      <c r="B770" s="9" t="s">
        <v>718</v>
      </c>
      <c r="C770" s="5" t="s">
        <v>11</v>
      </c>
      <c r="D770" s="5"/>
      <c r="E770" s="4"/>
      <c r="F770" s="4"/>
      <c r="G770" s="4"/>
      <c r="H770" s="4"/>
      <c r="I770" s="4"/>
      <c r="J770" s="4"/>
      <c r="K770" s="4"/>
      <c r="L770" s="4"/>
      <c r="M770" s="4"/>
    </row>
    <row r="771" spans="1:13" x14ac:dyDescent="0.55000000000000004">
      <c r="A771" t="s">
        <v>257</v>
      </c>
      <c r="B771" s="9" t="s">
        <v>719</v>
      </c>
      <c r="C771" s="5" t="s">
        <v>458</v>
      </c>
      <c r="D771" s="5"/>
      <c r="E771" s="4"/>
      <c r="F771" s="4"/>
      <c r="G771" s="4"/>
      <c r="H771" s="4"/>
      <c r="I771" s="4"/>
      <c r="J771" s="4"/>
      <c r="K771" s="4"/>
      <c r="L771" s="4"/>
      <c r="M771" s="4"/>
    </row>
    <row r="772" spans="1:13" x14ac:dyDescent="0.55000000000000004">
      <c r="B772" s="9" t="s">
        <v>720</v>
      </c>
      <c r="C772" s="5" t="s">
        <v>458</v>
      </c>
      <c r="D772" s="5"/>
      <c r="E772" s="4"/>
      <c r="F772" s="4"/>
      <c r="G772" s="4"/>
      <c r="H772" s="4"/>
      <c r="I772" s="4"/>
      <c r="J772" s="4"/>
      <c r="K772" s="4"/>
      <c r="L772" s="4"/>
      <c r="M772" s="4"/>
    </row>
    <row r="773" spans="1:13" x14ac:dyDescent="0.55000000000000004">
      <c r="B773" s="9" t="s">
        <v>721</v>
      </c>
      <c r="C773" s="5" t="s">
        <v>458</v>
      </c>
      <c r="D773" s="5"/>
      <c r="E773" s="4"/>
      <c r="F773" s="4"/>
      <c r="G773" s="4"/>
      <c r="H773" s="4"/>
      <c r="I773" s="4"/>
      <c r="J773" s="4"/>
      <c r="K773" s="4"/>
      <c r="L773" s="4"/>
      <c r="M773" s="4"/>
    </row>
    <row r="774" spans="1:13" x14ac:dyDescent="0.55000000000000004">
      <c r="B774" s="9" t="s">
        <v>722</v>
      </c>
      <c r="C774" s="5" t="s">
        <v>458</v>
      </c>
      <c r="D774" s="5"/>
      <c r="E774" s="4"/>
      <c r="F774" s="4"/>
      <c r="G774" s="4"/>
      <c r="H774" s="4"/>
      <c r="I774" s="4"/>
      <c r="J774" s="4"/>
      <c r="K774" s="4"/>
      <c r="L774" s="4"/>
      <c r="M774" s="4"/>
    </row>
    <row r="775" spans="1:13" x14ac:dyDescent="0.55000000000000004">
      <c r="A775" s="30" t="s">
        <v>971</v>
      </c>
      <c r="B775" s="9" t="s">
        <v>723</v>
      </c>
      <c r="C775" s="5" t="s">
        <v>11</v>
      </c>
      <c r="D775" s="5"/>
      <c r="E775" s="4"/>
      <c r="F775" s="4"/>
      <c r="G775" s="4"/>
      <c r="H775" s="4"/>
      <c r="I775" s="4"/>
      <c r="J775" s="4"/>
      <c r="K775" s="4"/>
      <c r="L775" s="4"/>
      <c r="M775" s="4"/>
    </row>
    <row r="776" spans="1:13" x14ac:dyDescent="0.55000000000000004">
      <c r="B776" s="9" t="s">
        <v>724</v>
      </c>
      <c r="C776" s="5" t="s">
        <v>458</v>
      </c>
      <c r="D776" s="5"/>
      <c r="E776" s="4"/>
      <c r="F776" s="4"/>
      <c r="G776" s="4"/>
      <c r="H776" s="4"/>
      <c r="I776" s="4"/>
      <c r="J776" s="4"/>
      <c r="K776" s="4"/>
      <c r="L776" s="4"/>
      <c r="M776" s="4"/>
    </row>
    <row r="777" spans="1:13" x14ac:dyDescent="0.55000000000000004">
      <c r="B777" s="9" t="s">
        <v>725</v>
      </c>
      <c r="C777" s="5" t="s">
        <v>458</v>
      </c>
      <c r="D777" s="5"/>
      <c r="E777" s="4"/>
      <c r="F777" s="4"/>
      <c r="G777" s="4"/>
      <c r="H777" s="4"/>
      <c r="I777" s="4"/>
      <c r="J777" s="4"/>
      <c r="K777" s="4"/>
      <c r="L777" s="4"/>
      <c r="M777" s="4"/>
    </row>
    <row r="778" spans="1:13" x14ac:dyDescent="0.55000000000000004">
      <c r="B778" s="9" t="s">
        <v>726</v>
      </c>
      <c r="C778" s="5" t="s">
        <v>458</v>
      </c>
      <c r="D778" s="5"/>
      <c r="E778" s="4"/>
      <c r="F778" s="4"/>
      <c r="G778" s="4"/>
      <c r="H778" s="4"/>
      <c r="I778" s="4"/>
      <c r="J778" s="4"/>
      <c r="K778" s="4"/>
      <c r="L778" s="4"/>
      <c r="M778" s="4"/>
    </row>
    <row r="779" spans="1:13" x14ac:dyDescent="0.55000000000000004">
      <c r="B779" s="9" t="s">
        <v>727</v>
      </c>
      <c r="C779" s="5" t="s">
        <v>458</v>
      </c>
      <c r="D779" s="5"/>
      <c r="E779" s="4"/>
      <c r="F779" s="4"/>
      <c r="G779" s="4"/>
      <c r="H779" s="4"/>
      <c r="I779" s="4"/>
      <c r="J779" s="4"/>
      <c r="K779" s="4"/>
      <c r="L779" s="4"/>
      <c r="M779" s="4"/>
    </row>
    <row r="780" spans="1:13" x14ac:dyDescent="0.55000000000000004">
      <c r="A780" s="30" t="s">
        <v>971</v>
      </c>
      <c r="B780" s="9" t="s">
        <v>674</v>
      </c>
      <c r="C780" s="5">
        <v>0</v>
      </c>
      <c r="D780" s="5"/>
      <c r="E780" s="4"/>
      <c r="F780" s="4"/>
      <c r="G780" s="4"/>
      <c r="H780" s="4"/>
      <c r="I780" s="4"/>
      <c r="J780" s="4"/>
      <c r="K780" s="4"/>
      <c r="L780" s="4"/>
      <c r="M780" s="4"/>
    </row>
    <row r="781" spans="1:13" x14ac:dyDescent="0.55000000000000004">
      <c r="B781" s="9" t="s">
        <v>675</v>
      </c>
      <c r="C781" s="5" t="s">
        <v>458</v>
      </c>
      <c r="D781" s="5"/>
      <c r="E781" s="4"/>
      <c r="F781" s="4"/>
      <c r="G781" s="4"/>
      <c r="H781" s="4"/>
      <c r="I781" s="4"/>
      <c r="J781" s="4"/>
      <c r="K781" s="4"/>
      <c r="L781" s="4"/>
      <c r="M781" s="4"/>
    </row>
    <row r="782" spans="1:13" x14ac:dyDescent="0.55000000000000004">
      <c r="B782" s="9" t="s">
        <v>676</v>
      </c>
      <c r="C782" s="5" t="s">
        <v>458</v>
      </c>
      <c r="D782" s="5"/>
      <c r="E782" s="4"/>
      <c r="F782" s="4"/>
      <c r="G782" s="4"/>
      <c r="H782" s="4"/>
      <c r="I782" s="4"/>
      <c r="J782" s="4"/>
      <c r="K782" s="4"/>
      <c r="L782" s="4"/>
      <c r="M782" s="4"/>
    </row>
    <row r="783" spans="1:13" x14ac:dyDescent="0.55000000000000004">
      <c r="B783" s="9" t="s">
        <v>677</v>
      </c>
      <c r="C783" s="5" t="s">
        <v>458</v>
      </c>
      <c r="D783" s="4"/>
      <c r="E783" s="4"/>
      <c r="F783" s="4"/>
      <c r="G783" s="4"/>
      <c r="H783" s="4"/>
      <c r="I783" s="4"/>
      <c r="J783" s="4"/>
      <c r="K783" s="4"/>
      <c r="L783" s="4"/>
      <c r="M783" s="4"/>
    </row>
    <row r="784" spans="1:13" x14ac:dyDescent="0.55000000000000004">
      <c r="B784" s="9" t="s">
        <v>678</v>
      </c>
      <c r="C784" s="5" t="s">
        <v>458</v>
      </c>
      <c r="D784" s="4"/>
      <c r="E784" s="4"/>
      <c r="F784" s="4"/>
      <c r="G784" s="4"/>
      <c r="H784" s="4"/>
      <c r="I784" s="4"/>
      <c r="J784" s="4"/>
      <c r="K784" s="4"/>
      <c r="L784" s="4"/>
      <c r="M784" s="4"/>
    </row>
    <row r="785" spans="1:13" x14ac:dyDescent="0.55000000000000004">
      <c r="A785" s="30" t="s">
        <v>971</v>
      </c>
      <c r="B785" s="16"/>
      <c r="C785" s="4" t="s">
        <v>458</v>
      </c>
      <c r="D785" s="4"/>
      <c r="E785" s="4"/>
      <c r="F785" s="4"/>
      <c r="G785" s="4"/>
      <c r="H785" s="4"/>
      <c r="I785" s="4"/>
      <c r="J785" s="4"/>
      <c r="K785" s="4"/>
      <c r="L785" s="4"/>
      <c r="M785" s="4"/>
    </row>
    <row r="786" spans="1:13" x14ac:dyDescent="0.55000000000000004">
      <c r="B786" s="61" t="s">
        <v>73</v>
      </c>
      <c r="C786" s="4" t="s">
        <v>201</v>
      </c>
      <c r="D786" s="4" t="s">
        <v>202</v>
      </c>
      <c r="E786" s="4" t="s">
        <v>203</v>
      </c>
      <c r="F786" s="4" t="s">
        <v>204</v>
      </c>
      <c r="G786" s="4" t="s">
        <v>205</v>
      </c>
      <c r="H786" s="4" t="s">
        <v>1155</v>
      </c>
      <c r="I786" s="4" t="s">
        <v>1156</v>
      </c>
      <c r="J786" s="4" t="s">
        <v>1157</v>
      </c>
      <c r="K786" s="4"/>
      <c r="L786" s="4"/>
      <c r="M786" s="4"/>
    </row>
    <row r="787" spans="1:13" x14ac:dyDescent="0.55000000000000004">
      <c r="B787" s="9" t="s">
        <v>679</v>
      </c>
      <c r="C787" s="5">
        <v>0.3</v>
      </c>
      <c r="D787" s="5"/>
      <c r="E787" s="4"/>
      <c r="F787" s="4"/>
      <c r="G787" s="4"/>
      <c r="H787" s="4"/>
      <c r="I787" s="4"/>
      <c r="J787" s="4"/>
      <c r="K787" s="4"/>
      <c r="L787" s="4"/>
      <c r="M787" s="4"/>
    </row>
    <row r="788" spans="1:13" x14ac:dyDescent="0.55000000000000004">
      <c r="B788" s="9" t="s">
        <v>680</v>
      </c>
      <c r="C788" s="5">
        <v>0.05</v>
      </c>
      <c r="D788" s="4"/>
      <c r="E788" s="4"/>
      <c r="F788" s="4"/>
      <c r="G788" s="4"/>
      <c r="H788" s="4"/>
      <c r="I788" s="4"/>
      <c r="J788" s="4"/>
      <c r="K788" s="4"/>
      <c r="L788" s="4"/>
      <c r="M788" s="7"/>
    </row>
    <row r="789" spans="1:13" x14ac:dyDescent="0.55000000000000004">
      <c r="B789" s="9" t="s">
        <v>681</v>
      </c>
      <c r="C789" s="5">
        <v>0.05</v>
      </c>
      <c r="D789" s="4"/>
      <c r="E789" s="4"/>
      <c r="F789" s="4"/>
      <c r="G789" s="4"/>
      <c r="H789" s="4"/>
      <c r="I789" s="4"/>
      <c r="J789" s="4"/>
      <c r="K789" s="4"/>
      <c r="L789" s="4"/>
      <c r="M789" s="7"/>
    </row>
    <row r="790" spans="1:13" x14ac:dyDescent="0.55000000000000004">
      <c r="B790" s="9" t="s">
        <v>682</v>
      </c>
      <c r="C790" s="5">
        <v>30</v>
      </c>
      <c r="D790" s="5"/>
      <c r="E790" s="4"/>
      <c r="F790" s="4"/>
      <c r="G790" s="4"/>
      <c r="H790" s="4"/>
      <c r="I790" s="4"/>
      <c r="J790" s="4"/>
      <c r="K790" s="4"/>
      <c r="L790" s="4"/>
      <c r="M790" s="7"/>
    </row>
    <row r="791" spans="1:13" x14ac:dyDescent="0.55000000000000004">
      <c r="B791" s="9" t="s">
        <v>683</v>
      </c>
      <c r="C791" s="5">
        <v>0</v>
      </c>
      <c r="D791" s="5"/>
      <c r="E791" s="4"/>
      <c r="F791" s="4"/>
      <c r="G791" s="4"/>
      <c r="H791" s="4"/>
      <c r="I791" s="4"/>
      <c r="J791" s="4"/>
      <c r="K791" s="4"/>
      <c r="L791" s="4"/>
      <c r="M791" s="7"/>
    </row>
    <row r="792" spans="1:13" x14ac:dyDescent="0.55000000000000004">
      <c r="B792" s="9" t="s">
        <v>684</v>
      </c>
      <c r="C792" s="5">
        <v>0</v>
      </c>
      <c r="D792" s="5"/>
      <c r="E792" s="4"/>
      <c r="F792" s="4"/>
      <c r="G792" s="4"/>
      <c r="H792" s="4"/>
      <c r="I792" s="4"/>
      <c r="J792" s="4"/>
      <c r="K792" s="4"/>
      <c r="L792" s="4"/>
      <c r="M792" s="7"/>
    </row>
    <row r="793" spans="1:13" x14ac:dyDescent="0.55000000000000004">
      <c r="B793" s="9" t="s">
        <v>685</v>
      </c>
      <c r="C793" s="5">
        <v>0</v>
      </c>
      <c r="D793" s="5"/>
      <c r="E793" s="4"/>
      <c r="F793" s="4"/>
      <c r="G793" s="4"/>
      <c r="H793" s="4"/>
      <c r="I793" s="4"/>
      <c r="J793" s="4"/>
      <c r="K793" s="4"/>
      <c r="L793" s="4"/>
      <c r="M793" s="7"/>
    </row>
    <row r="794" spans="1:13" x14ac:dyDescent="0.55000000000000004">
      <c r="B794" s="9" t="s">
        <v>686</v>
      </c>
      <c r="C794" s="5">
        <v>0.9</v>
      </c>
      <c r="D794" s="4"/>
      <c r="E794" s="4"/>
      <c r="F794" s="4"/>
      <c r="G794" s="4"/>
      <c r="H794" s="4"/>
      <c r="I794" s="4"/>
      <c r="J794" s="4"/>
      <c r="K794" s="4"/>
      <c r="L794" s="4"/>
      <c r="M794" s="7"/>
    </row>
    <row r="795" spans="1:13" x14ac:dyDescent="0.55000000000000004">
      <c r="B795" s="9" t="s">
        <v>687</v>
      </c>
      <c r="C795" s="5">
        <v>0.2</v>
      </c>
      <c r="D795" s="4"/>
      <c r="E795" s="4"/>
      <c r="F795" s="4"/>
      <c r="G795" s="4"/>
      <c r="H795" s="4"/>
      <c r="I795" s="4"/>
      <c r="J795" s="4"/>
      <c r="K795" s="4"/>
      <c r="L795" s="4"/>
      <c r="M795" s="7"/>
    </row>
    <row r="796" spans="1:13" x14ac:dyDescent="0.55000000000000004">
      <c r="B796" s="9" t="s">
        <v>1225</v>
      </c>
      <c r="C796" s="5">
        <v>0.5</v>
      </c>
      <c r="D796" s="5"/>
      <c r="E796" s="4"/>
      <c r="F796" s="4"/>
      <c r="G796" s="4"/>
      <c r="H796" s="4"/>
      <c r="I796" s="4"/>
      <c r="J796" s="4"/>
      <c r="K796" s="4"/>
      <c r="L796" s="4"/>
      <c r="M796" s="7"/>
    </row>
    <row r="797" spans="1:13" x14ac:dyDescent="0.55000000000000004">
      <c r="B797" s="9" t="s">
        <v>688</v>
      </c>
      <c r="C797" s="5">
        <v>0.5</v>
      </c>
      <c r="D797" s="5"/>
      <c r="E797" s="4"/>
      <c r="F797" s="4"/>
      <c r="G797" s="4"/>
      <c r="H797" s="4"/>
      <c r="I797" s="4"/>
      <c r="J797" s="4"/>
      <c r="K797" s="4"/>
      <c r="L797" s="4"/>
      <c r="M797" s="7"/>
    </row>
    <row r="798" spans="1:13" x14ac:dyDescent="0.55000000000000004">
      <c r="B798" s="9" t="s">
        <v>689</v>
      </c>
      <c r="C798" s="5">
        <v>40</v>
      </c>
      <c r="D798" s="5"/>
      <c r="E798" s="4"/>
      <c r="F798" s="4"/>
      <c r="G798" s="4"/>
      <c r="H798" s="4"/>
      <c r="I798" s="4"/>
      <c r="J798" s="4"/>
      <c r="K798" s="4"/>
      <c r="L798" s="4"/>
      <c r="M798" s="7"/>
    </row>
    <row r="799" spans="1:13" x14ac:dyDescent="0.55000000000000004">
      <c r="B799" s="9" t="s">
        <v>690</v>
      </c>
      <c r="C799" s="5">
        <v>500</v>
      </c>
      <c r="D799" s="5"/>
      <c r="E799" s="4"/>
      <c r="F799" s="4"/>
      <c r="G799" s="4"/>
      <c r="H799" s="4"/>
      <c r="I799" s="4"/>
      <c r="J799" s="4"/>
      <c r="K799" s="4"/>
      <c r="L799" s="4"/>
      <c r="M799" s="7"/>
    </row>
    <row r="800" spans="1:13" x14ac:dyDescent="0.55000000000000004">
      <c r="B800" s="9" t="s">
        <v>691</v>
      </c>
      <c r="C800" s="5">
        <v>3</v>
      </c>
      <c r="D800" s="5"/>
      <c r="E800" s="4"/>
      <c r="F800" s="4"/>
      <c r="G800" s="4"/>
      <c r="H800" s="4"/>
      <c r="I800" s="4"/>
      <c r="J800" s="4"/>
      <c r="K800" s="4"/>
      <c r="L800" s="4"/>
      <c r="M800" s="7"/>
    </row>
    <row r="801" spans="2:13" x14ac:dyDescent="0.55000000000000004">
      <c r="B801" s="9" t="s">
        <v>692</v>
      </c>
      <c r="C801" s="5">
        <v>70000</v>
      </c>
      <c r="D801" s="5"/>
      <c r="E801" s="4"/>
      <c r="F801" s="4"/>
      <c r="G801" s="4"/>
      <c r="H801" s="4"/>
      <c r="I801" s="4"/>
      <c r="J801" s="4"/>
      <c r="K801" s="4"/>
      <c r="L801" s="4"/>
      <c r="M801" s="7"/>
    </row>
    <row r="802" spans="2:13" x14ac:dyDescent="0.55000000000000004">
      <c r="B802" s="9" t="s">
        <v>693</v>
      </c>
      <c r="C802" s="5">
        <v>8</v>
      </c>
      <c r="D802" s="5"/>
      <c r="E802" s="4"/>
      <c r="F802" s="4"/>
      <c r="G802" s="4"/>
      <c r="H802" s="4"/>
      <c r="I802" s="4"/>
      <c r="J802" s="4"/>
      <c r="K802" s="4"/>
      <c r="L802" s="4"/>
      <c r="M802" s="7"/>
    </row>
    <row r="803" spans="2:13" x14ac:dyDescent="0.55000000000000004">
      <c r="B803" s="9" t="s">
        <v>1226</v>
      </c>
      <c r="C803" s="5">
        <v>0.3</v>
      </c>
      <c r="D803" s="5"/>
      <c r="E803" s="4"/>
      <c r="F803" s="4"/>
      <c r="G803" s="4"/>
      <c r="H803" s="4"/>
      <c r="I803" s="4"/>
      <c r="J803" s="4"/>
      <c r="K803" s="4"/>
      <c r="L803" s="4"/>
      <c r="M803" s="7"/>
    </row>
    <row r="804" spans="2:13" x14ac:dyDescent="0.55000000000000004">
      <c r="B804" s="9" t="s">
        <v>699</v>
      </c>
      <c r="C804" s="5">
        <v>7</v>
      </c>
      <c r="D804" s="5"/>
      <c r="E804" s="4"/>
      <c r="F804" s="4"/>
      <c r="G804" s="4"/>
      <c r="H804" s="4"/>
      <c r="I804" s="4"/>
      <c r="J804" s="4"/>
      <c r="K804" s="4"/>
      <c r="L804" s="4"/>
      <c r="M804" s="7"/>
    </row>
    <row r="805" spans="2:13" x14ac:dyDescent="0.55000000000000004">
      <c r="B805" s="9" t="s">
        <v>700</v>
      </c>
      <c r="C805" s="5">
        <v>15</v>
      </c>
      <c r="D805" s="4"/>
      <c r="E805" s="4"/>
      <c r="F805" s="4"/>
      <c r="G805" s="4"/>
      <c r="H805" s="4"/>
      <c r="I805" s="4"/>
      <c r="J805" s="4"/>
      <c r="K805" s="4"/>
      <c r="L805" s="4"/>
      <c r="M805" s="7"/>
    </row>
    <row r="806" spans="2:13" x14ac:dyDescent="0.55000000000000004">
      <c r="B806" s="9" t="s">
        <v>701</v>
      </c>
      <c r="C806" s="5">
        <v>24</v>
      </c>
      <c r="D806" s="4"/>
      <c r="E806" s="4"/>
      <c r="F806" s="4"/>
      <c r="G806" s="4"/>
      <c r="H806" s="4"/>
      <c r="I806" s="4"/>
      <c r="J806" s="4"/>
      <c r="K806" s="4"/>
      <c r="L806" s="4"/>
      <c r="M806" s="7"/>
    </row>
    <row r="807" spans="2:13" x14ac:dyDescent="0.55000000000000004">
      <c r="B807" s="9" t="s">
        <v>698</v>
      </c>
      <c r="C807" s="5">
        <v>34</v>
      </c>
      <c r="D807" s="5"/>
      <c r="E807" s="4"/>
      <c r="F807" s="4"/>
      <c r="G807" s="4"/>
      <c r="H807" s="4"/>
      <c r="I807" s="4"/>
      <c r="J807" s="4"/>
      <c r="K807" s="4"/>
      <c r="L807" s="4"/>
      <c r="M807" s="7"/>
    </row>
    <row r="808" spans="2:13" x14ac:dyDescent="0.55000000000000004">
      <c r="B808" s="9" t="s">
        <v>695</v>
      </c>
      <c r="C808" s="5">
        <v>0.1</v>
      </c>
      <c r="D808" s="5"/>
      <c r="E808" s="4"/>
      <c r="F808" s="4"/>
      <c r="G808" s="4"/>
      <c r="H808" s="4"/>
      <c r="I808" s="4"/>
      <c r="J808" s="4"/>
      <c r="K808" s="4"/>
      <c r="L808" s="4"/>
      <c r="M808" s="7"/>
    </row>
    <row r="809" spans="2:13" x14ac:dyDescent="0.55000000000000004">
      <c r="B809" s="9" t="s">
        <v>696</v>
      </c>
      <c r="C809" s="5">
        <v>0.99</v>
      </c>
      <c r="D809" s="5"/>
      <c r="E809" s="4"/>
      <c r="F809" s="4"/>
      <c r="G809" s="4"/>
      <c r="H809" s="4"/>
      <c r="I809" s="4"/>
      <c r="J809" s="4"/>
      <c r="K809" s="4"/>
      <c r="L809" s="4"/>
      <c r="M809" s="7"/>
    </row>
    <row r="810" spans="2:13" x14ac:dyDescent="0.55000000000000004">
      <c r="B810" s="9" t="s">
        <v>697</v>
      </c>
      <c r="C810" s="5">
        <v>0.99</v>
      </c>
      <c r="D810" s="4"/>
      <c r="E810" s="4"/>
      <c r="F810" s="4"/>
      <c r="G810" s="4"/>
      <c r="H810" s="4"/>
      <c r="I810" s="4"/>
      <c r="J810" s="4"/>
      <c r="K810" s="4"/>
      <c r="L810" s="4"/>
      <c r="M810" s="7"/>
    </row>
    <row r="811" spans="2:13" x14ac:dyDescent="0.55000000000000004">
      <c r="B811" s="9" t="s">
        <v>694</v>
      </c>
      <c r="C811" s="5">
        <v>0.01</v>
      </c>
      <c r="D811" s="4"/>
      <c r="E811" s="4"/>
      <c r="F811" s="4"/>
      <c r="G811" s="4"/>
      <c r="H811" s="4"/>
      <c r="I811" s="4"/>
      <c r="J811" s="4"/>
      <c r="K811" s="4"/>
      <c r="L811" s="4"/>
      <c r="M811" s="7"/>
    </row>
    <row r="812" spans="2:13" x14ac:dyDescent="0.55000000000000004">
      <c r="B812" s="9" t="s">
        <v>705</v>
      </c>
      <c r="C812" s="5">
        <v>5.0000000000000001E-3</v>
      </c>
      <c r="D812" s="5"/>
      <c r="E812" s="4"/>
      <c r="F812" s="4"/>
      <c r="G812" s="4"/>
      <c r="H812" s="4"/>
      <c r="I812" s="4"/>
      <c r="J812" s="4"/>
      <c r="K812" s="4"/>
      <c r="L812" s="4"/>
      <c r="M812" s="7"/>
    </row>
    <row r="813" spans="2:13" x14ac:dyDescent="0.55000000000000004">
      <c r="B813" s="9" t="s">
        <v>707</v>
      </c>
      <c r="C813" s="5">
        <v>0.08</v>
      </c>
      <c r="D813" s="5"/>
      <c r="E813" s="4"/>
      <c r="F813" s="4"/>
      <c r="G813" s="4"/>
      <c r="H813" s="4"/>
      <c r="I813" s="4"/>
      <c r="J813" s="4"/>
      <c r="K813" s="4"/>
      <c r="L813" s="4"/>
      <c r="M813" s="7"/>
    </row>
    <row r="814" spans="2:13" x14ac:dyDescent="0.55000000000000004">
      <c r="B814" s="9" t="s">
        <v>706</v>
      </c>
      <c r="C814" s="5">
        <v>0.45</v>
      </c>
      <c r="D814" s="5"/>
      <c r="E814" s="4"/>
      <c r="F814" s="4"/>
      <c r="G814" s="4"/>
      <c r="H814" s="4"/>
      <c r="I814" s="4"/>
      <c r="J814" s="4"/>
      <c r="K814" s="4"/>
      <c r="L814" s="4"/>
      <c r="M814" s="7"/>
    </row>
    <row r="815" spans="2:13" x14ac:dyDescent="0.55000000000000004">
      <c r="B815" s="9" t="s">
        <v>806</v>
      </c>
      <c r="C815" s="5">
        <v>1.1000000000000001</v>
      </c>
      <c r="D815" s="5"/>
      <c r="E815" s="4"/>
      <c r="F815" s="4"/>
      <c r="G815" s="4"/>
      <c r="H815" s="4"/>
      <c r="I815" s="4"/>
      <c r="J815" s="4"/>
      <c r="K815" s="4"/>
      <c r="L815" s="4"/>
      <c r="M815" s="7"/>
    </row>
    <row r="816" spans="2:13" x14ac:dyDescent="0.55000000000000004">
      <c r="B816" s="9" t="s">
        <v>807</v>
      </c>
      <c r="C816" s="5">
        <v>1.4</v>
      </c>
      <c r="D816" s="5"/>
      <c r="E816" s="4"/>
      <c r="F816" s="4"/>
      <c r="G816" s="4"/>
      <c r="H816" s="4"/>
      <c r="I816" s="4"/>
      <c r="J816" s="4"/>
      <c r="K816" s="4"/>
      <c r="L816" s="4"/>
      <c r="M816" s="7"/>
    </row>
    <row r="817" spans="1:13" x14ac:dyDescent="0.55000000000000004">
      <c r="B817" s="16"/>
      <c r="C817" s="4" t="s">
        <v>458</v>
      </c>
      <c r="D817" s="4"/>
      <c r="E817" s="4"/>
      <c r="F817" s="4"/>
      <c r="G817" s="4"/>
      <c r="H817" s="4"/>
      <c r="I817" s="4"/>
      <c r="J817" s="4"/>
      <c r="K817" s="4"/>
      <c r="L817" s="4"/>
      <c r="M817" s="7"/>
    </row>
    <row r="818" spans="1:13" x14ac:dyDescent="0.55000000000000004">
      <c r="B818" s="61" t="s">
        <v>802</v>
      </c>
      <c r="C818" s="4" t="s">
        <v>82</v>
      </c>
      <c r="D818" s="4" t="s">
        <v>83</v>
      </c>
      <c r="E818" s="4" t="s">
        <v>84</v>
      </c>
      <c r="F818" s="4" t="s">
        <v>85</v>
      </c>
      <c r="G818" s="4" t="s">
        <v>86</v>
      </c>
      <c r="H818" s="4" t="s">
        <v>87</v>
      </c>
      <c r="I818" s="4" t="s">
        <v>88</v>
      </c>
      <c r="J818" s="4" t="s">
        <v>89</v>
      </c>
      <c r="K818" s="4" t="s">
        <v>93</v>
      </c>
      <c r="L818" s="4" t="s">
        <v>94</v>
      </c>
      <c r="M818" s="7"/>
    </row>
    <row r="819" spans="1:13" x14ac:dyDescent="0.55000000000000004">
      <c r="B819" s="9" t="s">
        <v>804</v>
      </c>
      <c r="C819" s="5">
        <v>0.08</v>
      </c>
      <c r="D819" s="4"/>
      <c r="E819" s="4"/>
      <c r="F819" s="4"/>
      <c r="G819" s="4"/>
      <c r="H819" s="4"/>
      <c r="I819" s="4"/>
      <c r="J819" s="4"/>
      <c r="K819" s="4"/>
      <c r="L819" s="4"/>
      <c r="M819" s="7"/>
    </row>
    <row r="820" spans="1:13" x14ac:dyDescent="0.55000000000000004">
      <c r="B820" s="9" t="s">
        <v>803</v>
      </c>
      <c r="C820" s="5">
        <v>1E-3</v>
      </c>
      <c r="D820" s="4"/>
      <c r="E820" s="4"/>
      <c r="F820" s="4"/>
      <c r="G820" s="4"/>
      <c r="H820" s="4"/>
      <c r="I820" s="4"/>
      <c r="J820" s="4"/>
      <c r="K820" s="4"/>
      <c r="L820" s="4"/>
      <c r="M820" s="7"/>
    </row>
    <row r="821" spans="1:13" x14ac:dyDescent="0.55000000000000004">
      <c r="B821" s="9" t="s">
        <v>801</v>
      </c>
      <c r="C821" s="5">
        <v>1E-3</v>
      </c>
      <c r="D821" s="4"/>
      <c r="E821" s="4"/>
      <c r="F821" s="4"/>
      <c r="G821" s="4"/>
      <c r="H821" s="4"/>
      <c r="I821" s="4"/>
      <c r="J821" s="4"/>
      <c r="K821" s="4"/>
      <c r="L821" s="4"/>
      <c r="M821" s="7"/>
    </row>
    <row r="822" spans="1:13" x14ac:dyDescent="0.55000000000000004">
      <c r="A822" t="s">
        <v>2494</v>
      </c>
      <c r="B822" s="109" t="s">
        <v>2495</v>
      </c>
      <c r="C822" s="5">
        <v>0.25</v>
      </c>
      <c r="D822" s="4"/>
      <c r="E822" s="4"/>
      <c r="F822" s="4"/>
      <c r="G822" s="4"/>
      <c r="H822" s="4"/>
      <c r="I822" s="4"/>
      <c r="J822" s="4"/>
      <c r="K822" s="4"/>
      <c r="L822" s="4"/>
    </row>
    <row r="823" spans="1:13" x14ac:dyDescent="0.55000000000000004">
      <c r="A823" t="s">
        <v>2494</v>
      </c>
      <c r="B823" s="109" t="s">
        <v>2496</v>
      </c>
      <c r="C823" s="5">
        <v>1E-3</v>
      </c>
      <c r="D823" s="4"/>
      <c r="E823" s="4"/>
      <c r="F823" s="4"/>
      <c r="G823" s="4"/>
      <c r="H823" s="4"/>
      <c r="I823" s="4"/>
      <c r="J823" s="4"/>
      <c r="K823" s="4"/>
      <c r="L823" s="4"/>
    </row>
    <row r="824" spans="1:13" x14ac:dyDescent="0.55000000000000004">
      <c r="A824" t="s">
        <v>2494</v>
      </c>
      <c r="B824" s="109" t="s">
        <v>2497</v>
      </c>
      <c r="C824" s="5">
        <v>0.01</v>
      </c>
      <c r="D824" s="4"/>
      <c r="E824" s="4"/>
      <c r="F824" s="4"/>
      <c r="G824" s="4"/>
      <c r="H824" s="4"/>
      <c r="I824" s="4"/>
      <c r="J824" s="4"/>
      <c r="K824" s="4"/>
      <c r="L824" s="4"/>
    </row>
    <row r="825" spans="1:13" x14ac:dyDescent="0.55000000000000004">
      <c r="A825" t="s">
        <v>2498</v>
      </c>
      <c r="B825" s="109" t="s">
        <v>2499</v>
      </c>
      <c r="C825" s="5">
        <v>0.2</v>
      </c>
      <c r="D825" s="4"/>
      <c r="E825" s="4"/>
      <c r="F825" s="4"/>
      <c r="G825" s="4"/>
      <c r="H825" s="4"/>
      <c r="I825" s="4"/>
      <c r="J825" s="4"/>
      <c r="K825" s="4"/>
      <c r="L825" s="4"/>
    </row>
    <row r="826" spans="1:13" x14ac:dyDescent="0.55000000000000004">
      <c r="A826" t="s">
        <v>2498</v>
      </c>
      <c r="B826" s="109" t="s">
        <v>2500</v>
      </c>
      <c r="C826" s="5">
        <v>1E-3</v>
      </c>
      <c r="D826" s="4"/>
      <c r="E826" s="4"/>
      <c r="F826" s="4"/>
      <c r="G826" s="4"/>
      <c r="H826" s="4"/>
      <c r="I826" s="4"/>
      <c r="J826" s="4"/>
      <c r="K826" s="4"/>
      <c r="L826" s="4"/>
    </row>
    <row r="827" spans="1:13" x14ac:dyDescent="0.55000000000000004">
      <c r="A827" t="s">
        <v>2498</v>
      </c>
      <c r="B827" s="109" t="s">
        <v>2501</v>
      </c>
      <c r="C827" s="5">
        <v>0.01</v>
      </c>
      <c r="D827" s="4"/>
      <c r="E827" s="4"/>
      <c r="F827" s="4"/>
      <c r="G827" s="4"/>
      <c r="H827" s="4"/>
      <c r="I827" s="4"/>
      <c r="J827" s="4"/>
      <c r="K827" s="4"/>
      <c r="L827" s="4"/>
    </row>
    <row r="828" spans="1:13" x14ac:dyDescent="0.55000000000000004">
      <c r="B828" s="16"/>
      <c r="C828" s="4" t="s">
        <v>458</v>
      </c>
      <c r="D828" s="4"/>
      <c r="E828" s="4"/>
      <c r="F828" s="4"/>
      <c r="G828" s="4"/>
      <c r="H828" s="4"/>
      <c r="I828" s="4"/>
      <c r="J828" s="4"/>
      <c r="K828" s="4"/>
      <c r="L828" s="4"/>
      <c r="M828" s="7"/>
    </row>
    <row r="829" spans="1:13" x14ac:dyDescent="0.55000000000000004">
      <c r="B829" s="61" t="s">
        <v>796</v>
      </c>
      <c r="C829" s="4" t="s">
        <v>82</v>
      </c>
      <c r="D829" s="4" t="s">
        <v>83</v>
      </c>
      <c r="E829" s="4" t="s">
        <v>84</v>
      </c>
      <c r="F829" s="4" t="s">
        <v>85</v>
      </c>
      <c r="G829" s="4" t="s">
        <v>86</v>
      </c>
      <c r="H829" s="4" t="s">
        <v>87</v>
      </c>
      <c r="I829" s="4" t="s">
        <v>88</v>
      </c>
      <c r="J829" s="4" t="s">
        <v>89</v>
      </c>
      <c r="K829" s="4" t="s">
        <v>93</v>
      </c>
      <c r="L829" s="4" t="s">
        <v>94</v>
      </c>
      <c r="M829" s="7"/>
    </row>
    <row r="830" spans="1:13" x14ac:dyDescent="0.55000000000000004">
      <c r="B830" s="9" t="s">
        <v>800</v>
      </c>
      <c r="C830" s="5">
        <v>0.08</v>
      </c>
      <c r="D830" s="4"/>
      <c r="E830" s="4"/>
      <c r="F830" s="4"/>
      <c r="G830" s="4"/>
      <c r="H830" s="4"/>
      <c r="I830" s="4"/>
      <c r="J830" s="4"/>
      <c r="K830" s="4"/>
      <c r="L830" s="4"/>
      <c r="M830" s="7"/>
    </row>
    <row r="831" spans="1:13" x14ac:dyDescent="0.55000000000000004">
      <c r="B831" s="9" t="s">
        <v>799</v>
      </c>
      <c r="C831" s="5">
        <v>1E-3</v>
      </c>
      <c r="D831" s="4"/>
      <c r="E831" s="4"/>
      <c r="F831" s="4"/>
      <c r="G831" s="4"/>
      <c r="H831" s="4"/>
      <c r="I831" s="4"/>
      <c r="J831" s="4"/>
      <c r="K831" s="4"/>
      <c r="L831" s="4"/>
      <c r="M831" s="7"/>
    </row>
    <row r="832" spans="1:13" x14ac:dyDescent="0.55000000000000004">
      <c r="B832" s="9" t="s">
        <v>798</v>
      </c>
      <c r="C832" s="5">
        <v>1E-3</v>
      </c>
      <c r="D832" s="4"/>
      <c r="E832" s="4"/>
      <c r="F832" s="4"/>
      <c r="G832" s="4"/>
      <c r="H832" s="4"/>
      <c r="I832" s="4"/>
      <c r="J832" s="4"/>
      <c r="K832" s="4"/>
      <c r="L832" s="4"/>
      <c r="M832" s="7"/>
    </row>
    <row r="833" spans="1:13" x14ac:dyDescent="0.55000000000000004">
      <c r="B833" s="9" t="s">
        <v>795</v>
      </c>
      <c r="C833" s="5">
        <v>0.1</v>
      </c>
      <c r="D833" s="4"/>
      <c r="E833" s="4"/>
      <c r="F833" s="4"/>
      <c r="G833" s="4"/>
      <c r="H833" s="4"/>
      <c r="I833" s="4"/>
      <c r="J833" s="4"/>
      <c r="K833" s="4"/>
      <c r="L833" s="4"/>
      <c r="M833" s="7"/>
    </row>
    <row r="834" spans="1:13" x14ac:dyDescent="0.55000000000000004">
      <c r="A834" t="s">
        <v>2502</v>
      </c>
      <c r="B834" s="113" t="s">
        <v>2503</v>
      </c>
      <c r="C834" s="5">
        <v>0</v>
      </c>
      <c r="D834" s="4"/>
      <c r="E834" s="4"/>
      <c r="F834" s="4"/>
      <c r="G834" s="4"/>
      <c r="H834" s="4"/>
      <c r="I834" s="4"/>
      <c r="J834" s="4"/>
      <c r="K834" s="4"/>
      <c r="L834" s="4"/>
    </row>
    <row r="835" spans="1:13" x14ac:dyDescent="0.55000000000000004">
      <c r="A835" t="s">
        <v>2502</v>
      </c>
      <c r="B835" s="113" t="s">
        <v>2504</v>
      </c>
      <c r="C835" s="5">
        <v>0</v>
      </c>
      <c r="D835" s="4"/>
      <c r="E835" s="4"/>
      <c r="F835" s="4"/>
      <c r="G835" s="4"/>
      <c r="H835" s="4"/>
      <c r="I835" s="4"/>
      <c r="J835" s="4"/>
      <c r="K835" s="4"/>
      <c r="L835" s="4"/>
    </row>
    <row r="836" spans="1:13" x14ac:dyDescent="0.55000000000000004">
      <c r="A836" t="s">
        <v>2494</v>
      </c>
      <c r="B836" s="109" t="s">
        <v>2505</v>
      </c>
      <c r="C836" s="5">
        <v>7.0000000000000007E-2</v>
      </c>
      <c r="D836" s="4"/>
      <c r="E836" s="4"/>
      <c r="F836" s="4"/>
      <c r="G836" s="4"/>
      <c r="H836" s="4"/>
      <c r="I836" s="4"/>
      <c r="J836" s="4"/>
      <c r="K836" s="4"/>
      <c r="L836" s="4"/>
    </row>
    <row r="837" spans="1:13" x14ac:dyDescent="0.55000000000000004">
      <c r="A837" t="s">
        <v>2494</v>
      </c>
      <c r="B837" s="109" t="s">
        <v>2506</v>
      </c>
      <c r="C837" s="5">
        <v>0.01</v>
      </c>
      <c r="D837" s="4"/>
      <c r="E837" s="4"/>
      <c r="F837" s="4"/>
      <c r="G837" s="4"/>
      <c r="H837" s="4"/>
      <c r="I837" s="4"/>
      <c r="J837" s="4"/>
      <c r="K837" s="4"/>
      <c r="L837" s="4"/>
    </row>
    <row r="838" spans="1:13" x14ac:dyDescent="0.55000000000000004">
      <c r="A838" t="s">
        <v>2494</v>
      </c>
      <c r="B838" s="109" t="s">
        <v>2507</v>
      </c>
      <c r="C838" s="5">
        <v>1E-3</v>
      </c>
      <c r="D838" s="4"/>
      <c r="E838" s="4"/>
      <c r="F838" s="4"/>
      <c r="G838" s="4"/>
      <c r="H838" s="4"/>
      <c r="I838" s="4"/>
      <c r="J838" s="4"/>
      <c r="K838" s="4"/>
      <c r="L838" s="4"/>
    </row>
    <row r="839" spans="1:13" x14ac:dyDescent="0.55000000000000004">
      <c r="A839" t="s">
        <v>2498</v>
      </c>
      <c r="B839" s="109" t="s">
        <v>2508</v>
      </c>
      <c r="C839" s="5">
        <v>7.0000000000000007E-2</v>
      </c>
      <c r="D839" s="4"/>
      <c r="E839" s="4"/>
      <c r="F839" s="4"/>
      <c r="G839" s="4"/>
      <c r="H839" s="4"/>
      <c r="I839" s="4"/>
      <c r="J839" s="4"/>
      <c r="K839" s="4"/>
      <c r="L839" s="4"/>
    </row>
    <row r="840" spans="1:13" x14ac:dyDescent="0.55000000000000004">
      <c r="A840" t="s">
        <v>2498</v>
      </c>
      <c r="B840" s="109" t="s">
        <v>2509</v>
      </c>
      <c r="C840" s="5">
        <v>0.01</v>
      </c>
      <c r="D840" s="4"/>
      <c r="E840" s="4"/>
      <c r="F840" s="4"/>
      <c r="G840" s="4"/>
      <c r="H840" s="4"/>
      <c r="I840" s="4"/>
      <c r="J840" s="4"/>
      <c r="K840" s="4"/>
      <c r="L840" s="4"/>
    </row>
    <row r="841" spans="1:13" x14ac:dyDescent="0.55000000000000004">
      <c r="A841" t="s">
        <v>2498</v>
      </c>
      <c r="B841" s="109" t="s">
        <v>2510</v>
      </c>
      <c r="C841" s="5">
        <v>1E-3</v>
      </c>
      <c r="D841" s="4"/>
      <c r="E841" s="4"/>
      <c r="F841" s="4"/>
      <c r="G841" s="4"/>
      <c r="H841" s="4"/>
      <c r="I841" s="4"/>
      <c r="J841" s="4"/>
      <c r="K841" s="4"/>
      <c r="L841" s="4"/>
    </row>
    <row r="842" spans="1:13" x14ac:dyDescent="0.55000000000000004">
      <c r="B842" s="16"/>
      <c r="C842" s="4" t="s">
        <v>458</v>
      </c>
      <c r="D842" s="4"/>
      <c r="E842" s="4"/>
      <c r="F842" s="4"/>
      <c r="G842" s="4"/>
      <c r="H842" s="4"/>
      <c r="I842" s="4"/>
      <c r="J842" s="4"/>
      <c r="K842" s="4"/>
      <c r="L842" s="4"/>
      <c r="M842" s="7"/>
    </row>
    <row r="843" spans="1:13" x14ac:dyDescent="0.55000000000000004">
      <c r="B843" s="61" t="s">
        <v>797</v>
      </c>
      <c r="C843" s="4" t="s">
        <v>82</v>
      </c>
      <c r="D843" s="4" t="s">
        <v>83</v>
      </c>
      <c r="E843" s="4" t="s">
        <v>84</v>
      </c>
      <c r="F843" s="4" t="s">
        <v>85</v>
      </c>
      <c r="G843" s="4" t="s">
        <v>86</v>
      </c>
      <c r="H843" s="4" t="s">
        <v>87</v>
      </c>
      <c r="I843" s="4" t="s">
        <v>88</v>
      </c>
      <c r="J843" s="4" t="s">
        <v>89</v>
      </c>
      <c r="K843" s="4" t="s">
        <v>93</v>
      </c>
      <c r="L843" s="4" t="s">
        <v>94</v>
      </c>
      <c r="M843" s="7"/>
    </row>
    <row r="844" spans="1:13" x14ac:dyDescent="0.55000000000000004">
      <c r="B844" s="9" t="s">
        <v>794</v>
      </c>
      <c r="C844" s="5">
        <v>5.0000000000000001E-3</v>
      </c>
      <c r="D844" s="4"/>
      <c r="E844" s="4"/>
      <c r="F844" s="4"/>
      <c r="G844" s="4"/>
      <c r="H844" s="4"/>
      <c r="I844" s="4"/>
      <c r="J844" s="4"/>
      <c r="K844" s="4"/>
      <c r="L844" s="4"/>
      <c r="M844" s="7"/>
    </row>
    <row r="845" spans="1:13" x14ac:dyDescent="0.55000000000000004">
      <c r="B845" s="9" t="s">
        <v>793</v>
      </c>
      <c r="C845" s="5">
        <v>0.08</v>
      </c>
      <c r="D845" s="4"/>
      <c r="E845" s="4"/>
      <c r="F845" s="4"/>
      <c r="G845" s="4"/>
      <c r="H845" s="4"/>
      <c r="I845" s="4"/>
      <c r="J845" s="4"/>
      <c r="K845" s="4"/>
      <c r="L845" s="4"/>
      <c r="M845" s="7"/>
    </row>
    <row r="846" spans="1:13" x14ac:dyDescent="0.55000000000000004">
      <c r="B846" s="9" t="s">
        <v>792</v>
      </c>
      <c r="C846" s="5">
        <v>0.45</v>
      </c>
      <c r="D846" s="4"/>
      <c r="E846" s="4"/>
      <c r="F846" s="4"/>
      <c r="G846" s="4"/>
      <c r="H846" s="4"/>
      <c r="I846" s="4"/>
      <c r="J846" s="4"/>
      <c r="K846" s="4"/>
      <c r="L846" s="4"/>
      <c r="M846" s="7"/>
    </row>
    <row r="847" spans="1:13" x14ac:dyDescent="0.55000000000000004">
      <c r="B847" s="9" t="s">
        <v>791</v>
      </c>
      <c r="C847" s="5">
        <v>0.18</v>
      </c>
      <c r="D847" s="4"/>
      <c r="E847" s="4"/>
      <c r="F847" s="4"/>
      <c r="G847" s="4"/>
      <c r="H847" s="4"/>
      <c r="I847" s="4"/>
      <c r="J847" s="4"/>
      <c r="K847" s="4"/>
      <c r="L847" s="4"/>
      <c r="M847" s="7"/>
    </row>
    <row r="848" spans="1:13" x14ac:dyDescent="0.55000000000000004">
      <c r="B848" s="9" t="s">
        <v>1227</v>
      </c>
      <c r="C848" s="5">
        <v>1.4</v>
      </c>
      <c r="D848" s="4"/>
      <c r="E848" s="4"/>
      <c r="F848" s="4"/>
      <c r="G848" s="4"/>
      <c r="H848" s="4"/>
      <c r="I848" s="4"/>
      <c r="J848" s="4"/>
      <c r="K848" s="4"/>
      <c r="L848" s="4"/>
      <c r="M848" s="7"/>
    </row>
    <row r="849" spans="1:13" x14ac:dyDescent="0.55000000000000004">
      <c r="B849" s="9" t="s">
        <v>790</v>
      </c>
      <c r="C849" s="5">
        <v>4</v>
      </c>
      <c r="D849" s="4"/>
      <c r="E849" s="4"/>
      <c r="F849" s="4"/>
      <c r="G849" s="4"/>
      <c r="H849" s="4"/>
      <c r="I849" s="4"/>
      <c r="J849" s="4"/>
      <c r="K849" s="4"/>
      <c r="L849" s="4"/>
      <c r="M849" s="7"/>
    </row>
    <row r="850" spans="1:13" x14ac:dyDescent="0.55000000000000004">
      <c r="A850" s="24" t="s">
        <v>1624</v>
      </c>
      <c r="B850" s="9" t="s">
        <v>789</v>
      </c>
      <c r="C850" s="5">
        <v>30</v>
      </c>
      <c r="D850" s="4"/>
      <c r="E850" s="4"/>
      <c r="F850" s="4"/>
      <c r="G850" s="4"/>
      <c r="H850" s="4"/>
      <c r="I850" s="4"/>
      <c r="J850" s="4"/>
      <c r="K850" s="4"/>
      <c r="L850" s="4"/>
      <c r="M850" s="7"/>
    </row>
    <row r="851" spans="1:13" x14ac:dyDescent="0.55000000000000004">
      <c r="A851" s="70" t="s">
        <v>1622</v>
      </c>
      <c r="B851" s="9" t="s">
        <v>788</v>
      </c>
      <c r="C851" s="5">
        <v>0.1</v>
      </c>
      <c r="D851" s="4"/>
      <c r="E851" s="4"/>
      <c r="F851" s="4"/>
      <c r="G851" s="4"/>
      <c r="H851" s="4"/>
      <c r="I851" s="4"/>
      <c r="J851" s="4"/>
      <c r="K851" s="4"/>
      <c r="L851" s="4"/>
      <c r="M851" s="7"/>
    </row>
    <row r="852" spans="1:13" x14ac:dyDescent="0.55000000000000004">
      <c r="A852" s="69" t="s">
        <v>1623</v>
      </c>
      <c r="B852" s="9" t="s">
        <v>787</v>
      </c>
      <c r="C852" s="5">
        <v>0.99</v>
      </c>
      <c r="D852" s="4"/>
      <c r="E852" s="4"/>
      <c r="F852" s="4"/>
      <c r="G852" s="4"/>
      <c r="H852" s="4"/>
      <c r="I852" s="4"/>
      <c r="J852" s="4"/>
      <c r="K852" s="4"/>
      <c r="L852" s="4"/>
      <c r="M852" s="7"/>
    </row>
    <row r="853" spans="1:13" x14ac:dyDescent="0.55000000000000004">
      <c r="A853" s="70">
        <v>5</v>
      </c>
      <c r="B853" s="16"/>
      <c r="C853" s="4" t="s">
        <v>458</v>
      </c>
      <c r="D853" s="4"/>
      <c r="E853" s="4"/>
      <c r="F853" s="4"/>
      <c r="G853" s="4"/>
      <c r="H853" s="4"/>
      <c r="I853" s="4"/>
      <c r="J853" s="4"/>
      <c r="K853" s="4"/>
      <c r="L853" s="4"/>
      <c r="M853" s="7"/>
    </row>
    <row r="854" spans="1:13" x14ac:dyDescent="0.55000000000000004">
      <c r="A854" s="69">
        <f>EXP(C807*LN(A853)+C808)</f>
        <v>6.4329414050772571E+23</v>
      </c>
      <c r="B854" s="61" t="s">
        <v>1549</v>
      </c>
      <c r="C854" s="4" t="s">
        <v>82</v>
      </c>
      <c r="D854" s="4" t="s">
        <v>83</v>
      </c>
      <c r="E854" s="4" t="s">
        <v>84</v>
      </c>
      <c r="F854" s="4" t="s">
        <v>85</v>
      </c>
      <c r="G854" s="4" t="s">
        <v>86</v>
      </c>
      <c r="H854" s="4" t="s">
        <v>87</v>
      </c>
      <c r="I854" s="4" t="s">
        <v>88</v>
      </c>
      <c r="J854" s="4" t="s">
        <v>89</v>
      </c>
      <c r="K854" s="4" t="s">
        <v>93</v>
      </c>
      <c r="L854" s="4" t="s">
        <v>94</v>
      </c>
      <c r="M854" s="4"/>
    </row>
    <row r="855" spans="1:13" x14ac:dyDescent="0.55000000000000004">
      <c r="A855" s="24" t="s">
        <v>1553</v>
      </c>
      <c r="B855" s="9" t="s">
        <v>1550</v>
      </c>
      <c r="C855" s="5">
        <v>1.1000000000000001</v>
      </c>
      <c r="D855" s="4"/>
      <c r="E855" s="4"/>
      <c r="F855" s="4"/>
      <c r="G855" s="4"/>
      <c r="H855" s="4"/>
      <c r="I855" s="4"/>
      <c r="J855" s="4"/>
      <c r="K855" s="4"/>
      <c r="L855" s="4"/>
      <c r="M855" s="7"/>
    </row>
    <row r="856" spans="1:13" x14ac:dyDescent="0.55000000000000004">
      <c r="B856" s="9" t="s">
        <v>1551</v>
      </c>
      <c r="C856" s="5">
        <v>0.05</v>
      </c>
      <c r="D856" s="4"/>
      <c r="E856" s="4"/>
      <c r="F856" s="4"/>
      <c r="G856" s="4"/>
      <c r="H856" s="4"/>
      <c r="I856" s="4"/>
      <c r="J856" s="4"/>
      <c r="K856" s="4"/>
      <c r="L856" s="4"/>
      <c r="M856" s="7"/>
    </row>
    <row r="857" spans="1:13" x14ac:dyDescent="0.55000000000000004">
      <c r="A857" s="24" t="s">
        <v>1554</v>
      </c>
      <c r="B857" s="9" t="s">
        <v>1552</v>
      </c>
      <c r="C857" s="5">
        <v>1.5</v>
      </c>
      <c r="D857" s="4"/>
      <c r="E857" s="4"/>
      <c r="F857" s="4"/>
      <c r="G857" s="4"/>
      <c r="H857" s="4"/>
      <c r="I857" s="4"/>
      <c r="J857" s="4"/>
      <c r="K857" s="4"/>
      <c r="L857" s="4"/>
      <c r="M857" s="7"/>
    </row>
    <row r="858" spans="1:13" x14ac:dyDescent="0.55000000000000004">
      <c r="B858" s="16"/>
      <c r="C858" s="4" t="s">
        <v>458</v>
      </c>
      <c r="D858" s="4"/>
      <c r="E858" s="4"/>
      <c r="F858" s="4"/>
      <c r="G858" s="4"/>
      <c r="H858" s="4"/>
      <c r="I858" s="4"/>
      <c r="J858" s="4"/>
      <c r="K858" s="4"/>
      <c r="L858" s="4"/>
      <c r="M858" s="7"/>
    </row>
    <row r="859" spans="1:13" x14ac:dyDescent="0.55000000000000004">
      <c r="B859" s="61" t="s">
        <v>70</v>
      </c>
      <c r="C859" s="4" t="s">
        <v>57</v>
      </c>
      <c r="D859" s="4" t="s">
        <v>58</v>
      </c>
      <c r="E859" s="4" t="s">
        <v>59</v>
      </c>
      <c r="F859" s="4" t="s">
        <v>60</v>
      </c>
      <c r="G859" s="4" t="s">
        <v>61</v>
      </c>
      <c r="H859" s="4" t="s">
        <v>62</v>
      </c>
      <c r="I859" s="4" t="s">
        <v>63</v>
      </c>
      <c r="J859" s="4" t="s">
        <v>64</v>
      </c>
      <c r="K859" s="4" t="s">
        <v>65</v>
      </c>
      <c r="L859" s="4" t="s">
        <v>66</v>
      </c>
      <c r="M859" s="7"/>
    </row>
    <row r="860" spans="1:13" x14ac:dyDescent="0.55000000000000004">
      <c r="B860" s="9" t="s">
        <v>786</v>
      </c>
      <c r="C860" s="5">
        <v>4.5999999999999999E-2</v>
      </c>
      <c r="D860" s="5">
        <v>0.127</v>
      </c>
      <c r="E860" s="5">
        <v>1.9E-2</v>
      </c>
      <c r="F860" s="5">
        <v>7.3999999999999996E-2</v>
      </c>
      <c r="G860" s="5">
        <v>6.6000000000000003E-2</v>
      </c>
      <c r="H860" s="5">
        <v>7.9000000000000001E-2</v>
      </c>
      <c r="I860" s="5">
        <v>8.4000000000000005E-2</v>
      </c>
      <c r="J860" s="5">
        <v>6.6000000000000003E-2</v>
      </c>
      <c r="K860" s="5">
        <v>0.13</v>
      </c>
      <c r="L860" s="5">
        <v>8.4000000000000005E-2</v>
      </c>
      <c r="M860" s="7"/>
    </row>
    <row r="861" spans="1:13" x14ac:dyDescent="0.55000000000000004">
      <c r="B861" s="9" t="s">
        <v>785</v>
      </c>
      <c r="C861" s="5">
        <v>1.0149999999999999</v>
      </c>
      <c r="D861" s="5">
        <v>1.0149999999999999</v>
      </c>
      <c r="E861" s="5">
        <v>1.0149999999999999</v>
      </c>
      <c r="F861" s="5">
        <v>1.0149999999999999</v>
      </c>
      <c r="G861" s="5">
        <v>1.0149999999999999</v>
      </c>
      <c r="H861" s="5">
        <v>1.0149999999999999</v>
      </c>
      <c r="I861" s="5">
        <v>1.0149999999999999</v>
      </c>
      <c r="J861" s="5">
        <v>1.0149999999999999</v>
      </c>
      <c r="K861" s="5">
        <v>1.0149999999999999</v>
      </c>
      <c r="L861" s="5">
        <v>1.0149999999999999</v>
      </c>
      <c r="M861" s="7"/>
    </row>
    <row r="862" spans="1:13" x14ac:dyDescent="0.55000000000000004">
      <c r="B862" s="9" t="s">
        <v>784</v>
      </c>
      <c r="C862" s="5">
        <v>1</v>
      </c>
      <c r="D862" s="5">
        <v>1</v>
      </c>
      <c r="E862" s="5">
        <v>1</v>
      </c>
      <c r="F862" s="5">
        <v>1</v>
      </c>
      <c r="G862" s="5">
        <v>1</v>
      </c>
      <c r="H862" s="5">
        <v>1</v>
      </c>
      <c r="I862" s="5">
        <v>1</v>
      </c>
      <c r="J862" s="5">
        <v>1</v>
      </c>
      <c r="K862" s="5">
        <v>1</v>
      </c>
      <c r="L862" s="5">
        <v>1</v>
      </c>
      <c r="M862" s="7"/>
    </row>
    <row r="863" spans="1:13" x14ac:dyDescent="0.55000000000000004">
      <c r="A863" s="24" t="s">
        <v>927</v>
      </c>
      <c r="B863" s="9" t="s">
        <v>783</v>
      </c>
      <c r="C863" s="5">
        <v>0</v>
      </c>
      <c r="D863" s="5">
        <v>0</v>
      </c>
      <c r="E863" s="5">
        <v>0</v>
      </c>
      <c r="F863" s="5">
        <v>0</v>
      </c>
      <c r="G863" s="5">
        <v>0</v>
      </c>
      <c r="H863" s="5">
        <v>0</v>
      </c>
      <c r="I863" s="5">
        <v>0</v>
      </c>
      <c r="J863" s="5">
        <v>0</v>
      </c>
      <c r="K863" s="5">
        <v>0</v>
      </c>
      <c r="L863" s="5">
        <v>0</v>
      </c>
      <c r="M863" s="7"/>
    </row>
    <row r="864" spans="1:13" x14ac:dyDescent="0.55000000000000004">
      <c r="B864" s="9" t="s">
        <v>782</v>
      </c>
      <c r="C864" s="5">
        <v>0.02</v>
      </c>
      <c r="D864" s="5">
        <v>2E-3</v>
      </c>
      <c r="E864" s="5">
        <v>2E-3</v>
      </c>
      <c r="F864" s="5">
        <v>1.6E-2</v>
      </c>
      <c r="G864" s="5">
        <v>1.0999999999999999E-2</v>
      </c>
      <c r="H864" s="5">
        <v>0</v>
      </c>
      <c r="I864" s="5">
        <v>5.0000000000000001E-3</v>
      </c>
      <c r="J864" s="5">
        <v>0</v>
      </c>
      <c r="K864" s="5">
        <v>3.0000000000000001E-3</v>
      </c>
      <c r="L864" s="5">
        <v>0</v>
      </c>
      <c r="M864" s="7"/>
    </row>
    <row r="865" spans="1:13" x14ac:dyDescent="0.55000000000000004">
      <c r="B865" s="9" t="s">
        <v>781</v>
      </c>
      <c r="C865" s="5">
        <v>0.08</v>
      </c>
      <c r="D865" s="5">
        <v>0.08</v>
      </c>
      <c r="E865" s="5">
        <v>0.08</v>
      </c>
      <c r="F865" s="5">
        <v>0.08</v>
      </c>
      <c r="G865" s="5">
        <v>0.08</v>
      </c>
      <c r="H865" s="5">
        <v>0.08</v>
      </c>
      <c r="I865" s="5">
        <v>0.08</v>
      </c>
      <c r="J865" s="5">
        <v>0.08</v>
      </c>
      <c r="K865" s="5">
        <v>0.06</v>
      </c>
      <c r="L865" s="5">
        <v>0.06</v>
      </c>
      <c r="M865" s="7"/>
    </row>
    <row r="866" spans="1:13" x14ac:dyDescent="0.55000000000000004">
      <c r="B866" s="9" t="s">
        <v>780</v>
      </c>
      <c r="C866" s="5">
        <v>0.45</v>
      </c>
      <c r="D866" s="1">
        <v>0.45</v>
      </c>
      <c r="E866" s="5">
        <v>0.45</v>
      </c>
      <c r="F866" s="5">
        <v>0.45</v>
      </c>
      <c r="G866" s="5">
        <v>0.45</v>
      </c>
      <c r="H866" s="5">
        <v>0.45</v>
      </c>
      <c r="I866" s="5">
        <v>0.45</v>
      </c>
      <c r="J866" s="5">
        <v>0.45</v>
      </c>
      <c r="K866" s="5">
        <v>0.45</v>
      </c>
      <c r="L866" s="5">
        <v>0.45</v>
      </c>
      <c r="M866" s="7"/>
    </row>
    <row r="867" spans="1:13" x14ac:dyDescent="0.55000000000000004">
      <c r="B867" s="16"/>
      <c r="C867" s="4" t="s">
        <v>458</v>
      </c>
      <c r="D867" s="4"/>
      <c r="E867" s="4"/>
      <c r="F867" s="4"/>
      <c r="G867" s="4"/>
      <c r="H867" s="4"/>
      <c r="I867" s="4"/>
      <c r="J867" s="4"/>
      <c r="K867" s="4"/>
      <c r="L867" s="4"/>
      <c r="M867" s="4"/>
    </row>
    <row r="868" spans="1:13" x14ac:dyDescent="0.55000000000000004">
      <c r="B868" s="61" t="s">
        <v>452</v>
      </c>
      <c r="C868" s="4" t="s">
        <v>82</v>
      </c>
      <c r="D868" s="4" t="s">
        <v>83</v>
      </c>
      <c r="E868" s="4" t="s">
        <v>84</v>
      </c>
      <c r="F868" s="4" t="s">
        <v>85</v>
      </c>
      <c r="G868" s="4" t="s">
        <v>86</v>
      </c>
      <c r="H868" s="4" t="s">
        <v>87</v>
      </c>
      <c r="I868" s="4" t="s">
        <v>88</v>
      </c>
      <c r="J868" s="4" t="s">
        <v>89</v>
      </c>
      <c r="K868" s="4" t="s">
        <v>93</v>
      </c>
      <c r="L868" s="4" t="s">
        <v>94</v>
      </c>
      <c r="M868" s="4"/>
    </row>
    <row r="869" spans="1:13" x14ac:dyDescent="0.55000000000000004">
      <c r="B869" s="9" t="s">
        <v>779</v>
      </c>
      <c r="C869" s="5">
        <v>1E-3</v>
      </c>
      <c r="D869" s="4"/>
      <c r="E869" s="4"/>
      <c r="F869" s="4"/>
      <c r="G869" s="4"/>
      <c r="H869" s="4"/>
      <c r="I869" s="4"/>
      <c r="J869" s="4"/>
      <c r="K869" s="4"/>
      <c r="L869" s="4"/>
      <c r="M869" s="4"/>
    </row>
    <row r="870" spans="1:13" x14ac:dyDescent="0.55000000000000004">
      <c r="A870" s="24" t="s">
        <v>926</v>
      </c>
      <c r="B870" s="9" t="s">
        <v>778</v>
      </c>
      <c r="C870" s="5">
        <v>0</v>
      </c>
      <c r="D870" s="4"/>
      <c r="E870" s="4"/>
      <c r="F870" s="4"/>
      <c r="G870" s="4"/>
      <c r="H870" s="4"/>
      <c r="I870" s="4"/>
      <c r="J870" s="4"/>
      <c r="K870" s="4"/>
      <c r="L870" s="4"/>
      <c r="M870" s="4"/>
    </row>
    <row r="871" spans="1:13" x14ac:dyDescent="0.55000000000000004">
      <c r="B871" s="9" t="s">
        <v>777</v>
      </c>
      <c r="C871" s="5">
        <v>1E-3</v>
      </c>
      <c r="D871" s="4"/>
      <c r="E871" s="4"/>
      <c r="F871" s="4"/>
      <c r="G871" s="4"/>
      <c r="H871" s="4"/>
      <c r="I871" s="4"/>
      <c r="J871" s="4"/>
      <c r="K871" s="4"/>
      <c r="L871" s="4"/>
      <c r="M871" s="4"/>
    </row>
    <row r="872" spans="1:13" x14ac:dyDescent="0.55000000000000004">
      <c r="B872" s="9" t="s">
        <v>776</v>
      </c>
      <c r="C872" s="5">
        <v>0.4</v>
      </c>
      <c r="D872" s="4"/>
      <c r="E872" s="4"/>
      <c r="F872" s="4"/>
      <c r="G872" s="4"/>
      <c r="H872" s="4"/>
      <c r="I872" s="4"/>
      <c r="J872" s="4"/>
      <c r="K872" s="4"/>
      <c r="L872" s="4"/>
      <c r="M872" s="4"/>
    </row>
    <row r="873" spans="1:13" x14ac:dyDescent="0.55000000000000004">
      <c r="B873" s="9" t="s">
        <v>775</v>
      </c>
      <c r="C873" s="5">
        <v>5</v>
      </c>
      <c r="D873" s="4"/>
      <c r="E873" s="4"/>
      <c r="F873" s="4"/>
      <c r="G873" s="4"/>
      <c r="H873" s="4"/>
      <c r="I873" s="4"/>
      <c r="J873" s="4"/>
      <c r="K873" s="4"/>
      <c r="L873" s="4"/>
      <c r="M873" s="4"/>
    </row>
    <row r="874" spans="1:13" x14ac:dyDescent="0.55000000000000004">
      <c r="B874" s="9" t="s">
        <v>774</v>
      </c>
      <c r="C874" s="5">
        <v>25</v>
      </c>
      <c r="D874" s="4"/>
      <c r="E874" s="4"/>
      <c r="F874" s="4"/>
      <c r="G874" s="4"/>
      <c r="H874" s="4"/>
      <c r="I874" s="4"/>
      <c r="J874" s="4"/>
      <c r="K874" s="4"/>
      <c r="L874" s="4"/>
      <c r="M874" s="4"/>
    </row>
    <row r="875" spans="1:13" x14ac:dyDescent="0.55000000000000004">
      <c r="B875" s="9" t="s">
        <v>773</v>
      </c>
      <c r="C875" s="5">
        <v>0.1</v>
      </c>
      <c r="D875" s="4"/>
      <c r="E875" s="4"/>
      <c r="F875" s="4"/>
      <c r="G875" s="4"/>
      <c r="H875" s="4"/>
      <c r="I875" s="4"/>
      <c r="J875" s="4"/>
      <c r="K875" s="4"/>
      <c r="L875" s="4"/>
      <c r="M875" s="4"/>
    </row>
    <row r="876" spans="1:13" x14ac:dyDescent="0.55000000000000004">
      <c r="B876" s="9" t="s">
        <v>772</v>
      </c>
      <c r="C876" s="5">
        <v>0.99</v>
      </c>
      <c r="D876" s="4"/>
      <c r="E876" s="4"/>
      <c r="F876" s="4"/>
      <c r="G876" s="4"/>
      <c r="H876" s="4"/>
      <c r="I876" s="4"/>
      <c r="J876" s="4"/>
      <c r="K876" s="4"/>
      <c r="L876" s="4"/>
      <c r="M876" s="4"/>
    </row>
    <row r="877" spans="1:13" x14ac:dyDescent="0.55000000000000004">
      <c r="A877" s="24" t="s">
        <v>1496</v>
      </c>
      <c r="B877" s="9" t="s">
        <v>1497</v>
      </c>
      <c r="C877" s="5">
        <v>168</v>
      </c>
      <c r="D877" s="4"/>
      <c r="E877" s="4"/>
      <c r="F877" s="4"/>
      <c r="G877" s="4"/>
      <c r="H877" s="4"/>
      <c r="I877" s="4"/>
      <c r="J877" s="4"/>
      <c r="K877" s="4"/>
      <c r="L877" s="4"/>
      <c r="M877" s="4"/>
    </row>
    <row r="878" spans="1:13" x14ac:dyDescent="0.55000000000000004">
      <c r="B878" s="9" t="s">
        <v>805</v>
      </c>
      <c r="C878" s="5">
        <v>4.57</v>
      </c>
      <c r="D878" s="4"/>
      <c r="E878" s="4"/>
      <c r="F878" s="4"/>
      <c r="G878" s="4"/>
      <c r="H878" s="4"/>
      <c r="I878" s="4"/>
      <c r="J878" s="4"/>
      <c r="K878" s="4"/>
      <c r="L878" s="4"/>
      <c r="M878" s="4"/>
    </row>
    <row r="879" spans="1:13" x14ac:dyDescent="0.55000000000000004">
      <c r="B879" s="9" t="s">
        <v>771</v>
      </c>
      <c r="C879" s="5">
        <v>0.15</v>
      </c>
      <c r="D879" s="4"/>
      <c r="E879" s="4"/>
      <c r="F879" s="4"/>
      <c r="G879" s="4"/>
      <c r="H879" s="4"/>
      <c r="I879" s="4"/>
      <c r="J879" s="4"/>
      <c r="K879" s="4"/>
      <c r="L879" s="4"/>
      <c r="M879" s="4"/>
    </row>
    <row r="880" spans="1:13" x14ac:dyDescent="0.55000000000000004">
      <c r="B880" s="9" t="s">
        <v>770</v>
      </c>
      <c r="C880" s="5">
        <v>0.05</v>
      </c>
      <c r="D880" s="4"/>
      <c r="E880" s="4"/>
      <c r="F880" s="4"/>
      <c r="G880" s="4"/>
      <c r="H880" s="4"/>
      <c r="I880" s="4"/>
      <c r="J880" s="4"/>
      <c r="K880" s="4"/>
      <c r="L880" s="4"/>
      <c r="M880" s="4"/>
    </row>
    <row r="881" spans="1:13" x14ac:dyDescent="0.55000000000000004">
      <c r="B881" s="9" t="s">
        <v>769</v>
      </c>
      <c r="C881" s="5">
        <v>0.37</v>
      </c>
      <c r="D881" s="4"/>
      <c r="E881" s="4"/>
      <c r="F881" s="4"/>
      <c r="G881" s="4"/>
      <c r="H881" s="4"/>
      <c r="I881" s="4"/>
      <c r="J881" s="4"/>
      <c r="K881" s="4"/>
      <c r="L881" s="4"/>
      <c r="M881" s="4"/>
    </row>
    <row r="882" spans="1:13" x14ac:dyDescent="0.55000000000000004">
      <c r="B882" s="9" t="s">
        <v>767</v>
      </c>
      <c r="C882" s="5">
        <v>5</v>
      </c>
      <c r="D882" s="4"/>
      <c r="E882" s="4"/>
      <c r="F882" s="4"/>
      <c r="G882" s="4"/>
      <c r="H882" s="4"/>
      <c r="I882" s="4"/>
      <c r="J882" s="4"/>
      <c r="K882" s="4"/>
      <c r="L882" s="4"/>
      <c r="M882" s="4"/>
    </row>
    <row r="883" spans="1:13" x14ac:dyDescent="0.55000000000000004">
      <c r="B883" s="9" t="s">
        <v>768</v>
      </c>
      <c r="C883" s="5">
        <v>25</v>
      </c>
      <c r="D883" s="4"/>
      <c r="E883" s="4"/>
      <c r="F883" s="4"/>
      <c r="G883" s="4"/>
      <c r="H883" s="4"/>
      <c r="I883" s="4"/>
      <c r="J883" s="4"/>
      <c r="K883" s="4"/>
      <c r="L883" s="4"/>
      <c r="M883" s="4"/>
    </row>
    <row r="884" spans="1:13" x14ac:dyDescent="0.55000000000000004">
      <c r="B884" s="5" t="s">
        <v>766</v>
      </c>
      <c r="C884" s="5">
        <v>0.1</v>
      </c>
      <c r="D884" s="4"/>
      <c r="E884" s="4"/>
      <c r="F884" s="4"/>
      <c r="G884" s="4"/>
      <c r="H884" s="4"/>
      <c r="I884" s="4"/>
      <c r="J884" s="4"/>
      <c r="K884" s="4"/>
      <c r="L884" s="4"/>
      <c r="M884" s="4"/>
    </row>
    <row r="885" spans="1:13" x14ac:dyDescent="0.55000000000000004">
      <c r="B885" s="9" t="s">
        <v>765</v>
      </c>
      <c r="C885" s="5">
        <v>0.99</v>
      </c>
      <c r="D885" s="4"/>
      <c r="E885" s="4"/>
      <c r="F885" s="4"/>
      <c r="G885" s="4"/>
      <c r="H885" s="4"/>
      <c r="I885" s="4"/>
      <c r="J885" s="4"/>
      <c r="K885" s="4"/>
      <c r="L885" s="4"/>
      <c r="M885" s="4"/>
    </row>
    <row r="886" spans="1:13" x14ac:dyDescent="0.55000000000000004">
      <c r="B886" s="9" t="s">
        <v>764</v>
      </c>
      <c r="C886" s="5">
        <v>0.1</v>
      </c>
      <c r="D886" s="4"/>
      <c r="E886" s="4"/>
      <c r="F886" s="4"/>
      <c r="G886" s="4"/>
      <c r="H886" s="4"/>
      <c r="I886" s="4"/>
      <c r="J886" s="4"/>
      <c r="K886" s="4"/>
      <c r="L886" s="4"/>
      <c r="M886" s="4"/>
    </row>
    <row r="887" spans="1:13" x14ac:dyDescent="0.55000000000000004">
      <c r="B887" s="9" t="s">
        <v>763</v>
      </c>
      <c r="C887" s="5">
        <v>0</v>
      </c>
      <c r="D887" s="4"/>
      <c r="E887" s="4"/>
      <c r="F887" s="4"/>
      <c r="G887" s="4"/>
      <c r="H887" s="4"/>
      <c r="I887" s="4"/>
      <c r="J887" s="4"/>
      <c r="K887" s="4"/>
      <c r="L887" s="4"/>
      <c r="M887" s="4"/>
    </row>
    <row r="888" spans="1:13" x14ac:dyDescent="0.55000000000000004">
      <c r="B888" s="9" t="s">
        <v>762</v>
      </c>
      <c r="C888" s="5">
        <v>0.3</v>
      </c>
      <c r="D888" s="4"/>
      <c r="E888" s="4"/>
      <c r="F888" s="4"/>
      <c r="G888" s="4"/>
      <c r="H888" s="4"/>
      <c r="I888" s="4"/>
      <c r="J888" s="4"/>
      <c r="K888" s="4"/>
      <c r="L888" s="4"/>
      <c r="M888" s="4"/>
    </row>
    <row r="889" spans="1:13" x14ac:dyDescent="0.55000000000000004">
      <c r="B889" s="9" t="s">
        <v>761</v>
      </c>
      <c r="C889" s="5">
        <v>0.2</v>
      </c>
      <c r="D889" s="4"/>
      <c r="E889" s="4"/>
      <c r="F889" s="4"/>
      <c r="G889" s="4"/>
      <c r="H889" s="4"/>
      <c r="I889" s="4"/>
      <c r="J889" s="4"/>
      <c r="K889" s="4"/>
      <c r="L889" s="4"/>
      <c r="M889" s="4"/>
    </row>
    <row r="890" spans="1:13" x14ac:dyDescent="0.55000000000000004">
      <c r="A890" s="24" t="s">
        <v>924</v>
      </c>
      <c r="B890" s="16"/>
      <c r="C890" s="4" t="s">
        <v>458</v>
      </c>
      <c r="D890" s="3"/>
      <c r="E890" s="4"/>
      <c r="F890" s="4"/>
      <c r="G890" s="4"/>
      <c r="H890" s="4"/>
      <c r="I890" s="4"/>
      <c r="J890" s="4"/>
      <c r="K890" s="4"/>
      <c r="L890" s="4"/>
      <c r="M890" s="4"/>
    </row>
    <row r="891" spans="1:13" x14ac:dyDescent="0.55000000000000004">
      <c r="B891" s="61" t="s">
        <v>74</v>
      </c>
      <c r="C891" s="33" t="s">
        <v>82</v>
      </c>
      <c r="D891" s="4" t="s">
        <v>83</v>
      </c>
      <c r="E891" s="4" t="s">
        <v>84</v>
      </c>
      <c r="F891" s="4" t="s">
        <v>85</v>
      </c>
      <c r="G891" s="4" t="s">
        <v>86</v>
      </c>
      <c r="H891" s="4" t="s">
        <v>87</v>
      </c>
      <c r="I891" s="4" t="s">
        <v>88</v>
      </c>
      <c r="J891" s="4" t="s">
        <v>89</v>
      </c>
      <c r="K891" s="4" t="s">
        <v>93</v>
      </c>
      <c r="L891" s="4" t="s">
        <v>94</v>
      </c>
      <c r="M891" s="4"/>
    </row>
    <row r="892" spans="1:13" x14ac:dyDescent="0.55000000000000004">
      <c r="A892" s="24" t="s">
        <v>925</v>
      </c>
      <c r="B892" s="9" t="s">
        <v>760</v>
      </c>
      <c r="C892" s="5">
        <v>0.1</v>
      </c>
      <c r="D892" s="4"/>
      <c r="E892" s="4"/>
      <c r="F892" s="4"/>
      <c r="G892" s="4"/>
      <c r="H892" s="4"/>
      <c r="I892" s="4"/>
      <c r="J892" s="4"/>
      <c r="K892" s="4"/>
      <c r="L892" s="4"/>
      <c r="M892" s="4"/>
    </row>
    <row r="893" spans="1:13" x14ac:dyDescent="0.55000000000000004">
      <c r="B893" s="16"/>
      <c r="C893" s="4" t="s">
        <v>458</v>
      </c>
      <c r="D893" s="4"/>
      <c r="E893" s="4"/>
      <c r="F893" s="4"/>
      <c r="G893" s="4"/>
      <c r="H893" s="4"/>
      <c r="I893" s="4"/>
      <c r="J893" s="4"/>
      <c r="K893" s="4"/>
      <c r="L893" s="4"/>
      <c r="M893" s="4"/>
    </row>
    <row r="894" spans="1:13" x14ac:dyDescent="0.55000000000000004">
      <c r="B894" s="61" t="s">
        <v>728</v>
      </c>
      <c r="C894" s="4" t="s">
        <v>1158</v>
      </c>
      <c r="D894" s="4"/>
      <c r="E894" s="4"/>
      <c r="F894" s="4"/>
      <c r="G894" s="4"/>
      <c r="H894" s="4"/>
      <c r="I894" s="4"/>
      <c r="J894" s="4"/>
      <c r="K894" s="4"/>
      <c r="L894" s="4"/>
      <c r="M894" s="4"/>
    </row>
    <row r="895" spans="1:13" x14ac:dyDescent="0.55000000000000004">
      <c r="B895" s="9" t="s">
        <v>759</v>
      </c>
      <c r="C895" s="5">
        <v>0.1</v>
      </c>
      <c r="D895" s="4"/>
      <c r="E895" s="4"/>
      <c r="F895" s="4"/>
      <c r="G895" s="4"/>
      <c r="H895" s="4"/>
      <c r="I895" s="4"/>
      <c r="J895" s="4"/>
      <c r="K895" s="4"/>
      <c r="L895" s="4"/>
      <c r="M895" s="4"/>
    </row>
    <row r="896" spans="1:13" x14ac:dyDescent="0.55000000000000004">
      <c r="B896" s="109" t="s">
        <v>2511</v>
      </c>
      <c r="C896" s="5">
        <v>0.1</v>
      </c>
      <c r="D896" s="4"/>
      <c r="E896" s="4"/>
      <c r="F896" s="4"/>
      <c r="G896" s="4"/>
      <c r="H896" s="4"/>
      <c r="I896" s="4"/>
      <c r="J896" s="4"/>
      <c r="K896" s="4"/>
      <c r="L896" s="4"/>
    </row>
    <row r="897" spans="2:13" x14ac:dyDescent="0.55000000000000004">
      <c r="B897" s="16"/>
      <c r="C897" s="4"/>
      <c r="D897" s="4"/>
      <c r="E897" s="4"/>
      <c r="F897" s="4"/>
      <c r="G897" s="4"/>
      <c r="H897" s="4"/>
      <c r="I897" s="4"/>
      <c r="J897" s="4"/>
      <c r="K897" s="4"/>
      <c r="L897" s="4"/>
      <c r="M897" s="4"/>
    </row>
    <row r="898" spans="2:13" x14ac:dyDescent="0.55000000000000004">
      <c r="B898" s="61" t="s">
        <v>256</v>
      </c>
      <c r="C898" s="4" t="s">
        <v>82</v>
      </c>
      <c r="D898" s="4" t="s">
        <v>83</v>
      </c>
      <c r="E898" s="4" t="s">
        <v>84</v>
      </c>
      <c r="F898" s="4" t="s">
        <v>85</v>
      </c>
      <c r="G898" s="4" t="s">
        <v>86</v>
      </c>
      <c r="H898" s="4" t="s">
        <v>87</v>
      </c>
      <c r="I898" s="4" t="s">
        <v>88</v>
      </c>
      <c r="J898" s="4" t="s">
        <v>89</v>
      </c>
      <c r="K898" s="4" t="s">
        <v>93</v>
      </c>
      <c r="L898" s="4" t="s">
        <v>94</v>
      </c>
      <c r="M898" s="4"/>
    </row>
    <row r="899" spans="2:13" x14ac:dyDescent="0.55000000000000004">
      <c r="B899" s="9" t="s">
        <v>758</v>
      </c>
      <c r="C899" s="5" t="s">
        <v>998</v>
      </c>
      <c r="D899" s="4"/>
      <c r="E899" s="4"/>
      <c r="F899" s="4"/>
      <c r="G899" s="4"/>
      <c r="H899" s="4"/>
      <c r="I899" s="4"/>
      <c r="J899" s="4"/>
      <c r="K899" s="4"/>
      <c r="L899" s="4"/>
      <c r="M899" s="4"/>
    </row>
    <row r="900" spans="2:13" x14ac:dyDescent="0.55000000000000004">
      <c r="B900" s="9" t="s">
        <v>757</v>
      </c>
      <c r="C900" s="5" t="s">
        <v>998</v>
      </c>
      <c r="D900" s="4"/>
      <c r="E900" s="4"/>
      <c r="F900" s="4"/>
      <c r="G900" s="4"/>
      <c r="H900" s="4"/>
      <c r="I900" s="4"/>
      <c r="J900" s="4"/>
      <c r="K900" s="4"/>
      <c r="L900" s="4"/>
      <c r="M900" s="4"/>
    </row>
    <row r="901" spans="2:13" x14ac:dyDescent="0.55000000000000004">
      <c r="B901" s="9" t="s">
        <v>756</v>
      </c>
      <c r="C901" s="5">
        <v>0</v>
      </c>
      <c r="D901" s="4"/>
      <c r="E901" s="4"/>
      <c r="F901" s="4"/>
      <c r="G901" s="4"/>
      <c r="H901" s="4"/>
      <c r="I901" s="4"/>
      <c r="J901" s="4"/>
      <c r="K901" s="4"/>
      <c r="L901" s="4"/>
      <c r="M901" s="4"/>
    </row>
    <row r="902" spans="2:13" x14ac:dyDescent="0.55000000000000004">
      <c r="B902" s="9" t="s">
        <v>755</v>
      </c>
      <c r="C902" s="5">
        <v>0.08</v>
      </c>
      <c r="D902" s="4"/>
      <c r="E902" s="4"/>
      <c r="F902" s="4"/>
      <c r="G902" s="4"/>
      <c r="H902" s="4"/>
      <c r="I902" s="4"/>
      <c r="J902" s="4"/>
      <c r="K902" s="4"/>
      <c r="L902" s="4"/>
      <c r="M902" s="4"/>
    </row>
    <row r="903" spans="2:13" x14ac:dyDescent="0.55000000000000004">
      <c r="B903" s="9" t="s">
        <v>754</v>
      </c>
      <c r="C903" s="5">
        <v>0.1</v>
      </c>
      <c r="D903" s="4"/>
      <c r="E903" s="4"/>
      <c r="F903" s="4"/>
      <c r="G903" s="4"/>
      <c r="H903" s="4"/>
      <c r="I903" s="4"/>
      <c r="J903" s="4"/>
      <c r="K903" s="4"/>
      <c r="L903" s="4"/>
      <c r="M903" s="4"/>
    </row>
    <row r="904" spans="2:13" x14ac:dyDescent="0.55000000000000004">
      <c r="B904" s="9" t="s">
        <v>753</v>
      </c>
      <c r="C904" s="5">
        <v>1</v>
      </c>
      <c r="D904" s="4"/>
      <c r="E904" s="4"/>
      <c r="F904" s="4"/>
      <c r="G904" s="4"/>
      <c r="H904" s="4"/>
      <c r="I904" s="4"/>
      <c r="J904" s="4"/>
      <c r="K904" s="4"/>
      <c r="L904" s="4"/>
      <c r="M904" s="4"/>
    </row>
    <row r="905" spans="2:13" x14ac:dyDescent="0.55000000000000004">
      <c r="B905" s="9" t="s">
        <v>752</v>
      </c>
      <c r="C905" s="5">
        <v>1</v>
      </c>
      <c r="D905" s="4"/>
      <c r="E905" s="4"/>
      <c r="F905" s="4"/>
      <c r="G905" s="4"/>
      <c r="H905" s="4"/>
      <c r="I905" s="4"/>
      <c r="J905" s="4"/>
      <c r="K905" s="4"/>
      <c r="L905" s="4"/>
      <c r="M905" s="4"/>
    </row>
    <row r="906" spans="2:13" x14ac:dyDescent="0.55000000000000004">
      <c r="B906" s="9" t="s">
        <v>751</v>
      </c>
      <c r="C906" s="5">
        <v>0</v>
      </c>
      <c r="D906" s="4"/>
      <c r="E906" s="4"/>
      <c r="F906" s="4"/>
      <c r="G906" s="4"/>
      <c r="H906" s="4"/>
      <c r="I906" s="4"/>
      <c r="J906" s="4"/>
      <c r="K906" s="4"/>
      <c r="L906" s="4"/>
      <c r="M906" s="4"/>
    </row>
    <row r="907" spans="2:13" x14ac:dyDescent="0.55000000000000004">
      <c r="B907" s="9" t="s">
        <v>750</v>
      </c>
      <c r="C907" s="5" t="s">
        <v>998</v>
      </c>
      <c r="D907" s="4"/>
      <c r="E907" s="4"/>
      <c r="F907" s="4"/>
      <c r="G907" s="4"/>
      <c r="H907" s="4"/>
      <c r="I907" s="4"/>
      <c r="J907" s="4"/>
      <c r="K907" s="4"/>
      <c r="L907" s="4"/>
      <c r="M907" s="4"/>
    </row>
    <row r="908" spans="2:13" x14ac:dyDescent="0.55000000000000004">
      <c r="B908" s="9" t="s">
        <v>747</v>
      </c>
      <c r="C908" s="5">
        <v>4</v>
      </c>
      <c r="D908" s="4"/>
      <c r="E908" s="4"/>
      <c r="F908" s="4"/>
      <c r="G908" s="4"/>
      <c r="H908" s="4"/>
      <c r="I908" s="4"/>
      <c r="J908" s="4"/>
      <c r="K908" s="4"/>
      <c r="L908" s="4"/>
      <c r="M908" s="4"/>
    </row>
    <row r="909" spans="2:13" x14ac:dyDescent="0.55000000000000004">
      <c r="B909" s="9" t="s">
        <v>746</v>
      </c>
      <c r="C909" s="5">
        <v>30</v>
      </c>
      <c r="D909" s="4"/>
      <c r="E909" s="4"/>
      <c r="F909" s="4"/>
      <c r="G909" s="4"/>
      <c r="H909" s="4"/>
      <c r="I909" s="4"/>
      <c r="J909" s="4"/>
      <c r="K909" s="4"/>
      <c r="L909" s="4"/>
      <c r="M909" s="4"/>
    </row>
    <row r="910" spans="2:13" x14ac:dyDescent="0.55000000000000004">
      <c r="B910" s="9" t="s">
        <v>749</v>
      </c>
      <c r="C910" s="5">
        <v>0.1</v>
      </c>
      <c r="D910" s="4"/>
      <c r="E910" s="4"/>
      <c r="F910" s="4"/>
      <c r="G910" s="4"/>
      <c r="H910" s="4"/>
      <c r="I910" s="4"/>
      <c r="J910" s="4"/>
      <c r="K910" s="4"/>
      <c r="L910" s="4"/>
      <c r="M910" s="4"/>
    </row>
    <row r="911" spans="2:13" x14ac:dyDescent="0.55000000000000004">
      <c r="B911" s="9" t="s">
        <v>748</v>
      </c>
      <c r="C911" s="5">
        <v>0.99</v>
      </c>
      <c r="D911" s="4"/>
      <c r="E911" s="4"/>
      <c r="F911" s="4"/>
      <c r="G911" s="4"/>
      <c r="H911" s="4"/>
      <c r="I911" s="4"/>
      <c r="J911" s="4"/>
      <c r="K911" s="4"/>
      <c r="L911" s="4"/>
      <c r="M911" s="4"/>
    </row>
    <row r="912" spans="2:13" x14ac:dyDescent="0.55000000000000004">
      <c r="B912" s="16"/>
      <c r="C912" s="4" t="s">
        <v>458</v>
      </c>
      <c r="D912" s="4"/>
      <c r="E912" s="4"/>
      <c r="F912" s="4"/>
      <c r="G912" s="4"/>
      <c r="H912" s="4"/>
      <c r="I912" s="4"/>
      <c r="J912" s="4"/>
      <c r="K912" s="4"/>
      <c r="L912" s="4"/>
      <c r="M912" s="4"/>
    </row>
    <row r="913" spans="2:39" x14ac:dyDescent="0.55000000000000004">
      <c r="B913" s="61" t="s">
        <v>255</v>
      </c>
      <c r="C913" s="5">
        <v>1</v>
      </c>
      <c r="D913" s="5">
        <v>2</v>
      </c>
      <c r="E913" s="5">
        <v>3</v>
      </c>
      <c r="F913" s="5">
        <v>4</v>
      </c>
      <c r="G913" s="5">
        <v>5</v>
      </c>
      <c r="H913" s="5">
        <v>6</v>
      </c>
      <c r="I913" s="5">
        <v>7</v>
      </c>
      <c r="J913" s="5">
        <v>8</v>
      </c>
      <c r="K913" s="5">
        <v>9</v>
      </c>
      <c r="L913" s="5">
        <v>10</v>
      </c>
      <c r="M913" s="5">
        <v>11</v>
      </c>
      <c r="N913">
        <v>12</v>
      </c>
      <c r="O913">
        <v>13</v>
      </c>
      <c r="P913">
        <v>14</v>
      </c>
      <c r="Q913">
        <v>15</v>
      </c>
      <c r="R913">
        <v>16</v>
      </c>
      <c r="S913">
        <v>17</v>
      </c>
      <c r="T913">
        <v>18</v>
      </c>
      <c r="U913">
        <v>19</v>
      </c>
      <c r="V913">
        <v>20</v>
      </c>
      <c r="W913">
        <v>21</v>
      </c>
      <c r="X913">
        <v>22</v>
      </c>
      <c r="Y913">
        <v>23</v>
      </c>
      <c r="Z913">
        <v>24</v>
      </c>
      <c r="AA913">
        <v>25</v>
      </c>
      <c r="AB913">
        <v>26</v>
      </c>
      <c r="AC913">
        <v>27</v>
      </c>
      <c r="AD913">
        <v>28</v>
      </c>
      <c r="AE913">
        <v>29</v>
      </c>
      <c r="AF913">
        <v>30</v>
      </c>
      <c r="AG913">
        <v>31</v>
      </c>
      <c r="AH913">
        <v>32</v>
      </c>
      <c r="AI913">
        <v>33</v>
      </c>
      <c r="AJ913">
        <v>34</v>
      </c>
      <c r="AK913">
        <v>35</v>
      </c>
      <c r="AL913">
        <v>36</v>
      </c>
      <c r="AM913">
        <v>37</v>
      </c>
    </row>
    <row r="914" spans="2:39" x14ac:dyDescent="0.55000000000000004">
      <c r="B914" s="9" t="s">
        <v>745</v>
      </c>
      <c r="C914" s="5">
        <v>0.6</v>
      </c>
      <c r="D914" s="5">
        <v>0.6</v>
      </c>
      <c r="E914" s="5">
        <v>0.6</v>
      </c>
      <c r="F914" s="5">
        <v>0.6</v>
      </c>
      <c r="G914" s="5">
        <v>0.6</v>
      </c>
      <c r="H914" s="5">
        <v>0.6</v>
      </c>
      <c r="I914" s="5">
        <v>0.6</v>
      </c>
      <c r="J914" s="5">
        <v>0.6</v>
      </c>
      <c r="K914" s="5">
        <v>0.6</v>
      </c>
      <c r="L914" s="5">
        <v>0.6</v>
      </c>
      <c r="M914" s="5">
        <v>0.6</v>
      </c>
      <c r="N914">
        <v>0.6</v>
      </c>
      <c r="O914">
        <v>0.6</v>
      </c>
      <c r="P914">
        <v>0.6</v>
      </c>
      <c r="Q914">
        <v>0.6</v>
      </c>
      <c r="R914">
        <v>0.6</v>
      </c>
      <c r="S914">
        <v>0.6</v>
      </c>
      <c r="T914">
        <v>0.6</v>
      </c>
      <c r="U914">
        <v>0.6</v>
      </c>
      <c r="V914">
        <v>0.6</v>
      </c>
      <c r="W914">
        <v>0.6</v>
      </c>
      <c r="X914">
        <v>0.6</v>
      </c>
      <c r="Y914">
        <v>0.6</v>
      </c>
      <c r="Z914">
        <v>0.6</v>
      </c>
      <c r="AA914">
        <v>0.6</v>
      </c>
      <c r="AB914">
        <v>0.6</v>
      </c>
      <c r="AC914">
        <v>0.6</v>
      </c>
      <c r="AD914">
        <v>0.6</v>
      </c>
      <c r="AE914">
        <v>0.6</v>
      </c>
      <c r="AF914">
        <v>0.6</v>
      </c>
      <c r="AG914">
        <v>0.6</v>
      </c>
      <c r="AH914">
        <v>0.6</v>
      </c>
      <c r="AI914">
        <v>0.6</v>
      </c>
      <c r="AJ914">
        <v>0.6</v>
      </c>
      <c r="AK914">
        <v>0.6</v>
      </c>
      <c r="AL914">
        <v>0.6</v>
      </c>
      <c r="AM914">
        <v>0.6</v>
      </c>
    </row>
    <row r="915" spans="2:39" x14ac:dyDescent="0.55000000000000004">
      <c r="B915" s="16"/>
      <c r="C915" s="4" t="s">
        <v>458</v>
      </c>
      <c r="D915" s="4"/>
      <c r="E915" s="4"/>
      <c r="F915" s="4"/>
      <c r="G915" s="4"/>
      <c r="H915" s="4"/>
      <c r="I915" s="4"/>
      <c r="J915" s="4"/>
      <c r="K915" s="4"/>
      <c r="L915" s="4"/>
      <c r="M915" s="4"/>
    </row>
    <row r="916" spans="2:39" x14ac:dyDescent="0.55000000000000004">
      <c r="B916" s="61" t="s">
        <v>199</v>
      </c>
      <c r="C916" s="4" t="s">
        <v>82</v>
      </c>
      <c r="D916" s="4" t="s">
        <v>83</v>
      </c>
      <c r="E916" s="4" t="s">
        <v>84</v>
      </c>
      <c r="F916" s="4" t="s">
        <v>85</v>
      </c>
      <c r="G916" s="4" t="s">
        <v>86</v>
      </c>
      <c r="H916" s="4" t="s">
        <v>87</v>
      </c>
      <c r="I916" s="4" t="s">
        <v>88</v>
      </c>
      <c r="J916" s="4" t="s">
        <v>89</v>
      </c>
      <c r="K916" s="4" t="s">
        <v>93</v>
      </c>
      <c r="L916" s="4" t="s">
        <v>94</v>
      </c>
      <c r="M916" s="4"/>
    </row>
    <row r="917" spans="2:39" x14ac:dyDescent="0.55000000000000004">
      <c r="B917" s="9" t="s">
        <v>740</v>
      </c>
      <c r="C917" s="5" t="s">
        <v>1159</v>
      </c>
      <c r="D917" s="4"/>
      <c r="E917" s="4"/>
      <c r="F917" s="4"/>
      <c r="G917" s="4"/>
      <c r="H917" s="4"/>
      <c r="I917" s="4"/>
      <c r="J917" s="4"/>
      <c r="K917" s="4"/>
      <c r="L917" s="4"/>
      <c r="M917" s="4"/>
    </row>
    <row r="918" spans="2:39" x14ac:dyDescent="0.55000000000000004">
      <c r="B918" s="9" t="s">
        <v>741</v>
      </c>
      <c r="C918" s="5">
        <v>6</v>
      </c>
      <c r="D918" s="4"/>
      <c r="E918" s="4"/>
      <c r="F918" s="4"/>
      <c r="G918" s="4"/>
      <c r="H918" s="4"/>
      <c r="I918" s="4"/>
      <c r="J918" s="4"/>
      <c r="K918" s="4"/>
      <c r="L918" s="4"/>
      <c r="M918" s="4"/>
    </row>
    <row r="919" spans="2:39" x14ac:dyDescent="0.55000000000000004">
      <c r="B919" s="9" t="s">
        <v>2198</v>
      </c>
      <c r="C919" s="5">
        <v>0</v>
      </c>
      <c r="D919" s="4"/>
      <c r="E919" s="4"/>
      <c r="F919" s="4"/>
      <c r="G919" s="4"/>
      <c r="H919" s="4"/>
      <c r="I919" s="4"/>
      <c r="J919" s="4"/>
      <c r="K919" s="4"/>
      <c r="L919" s="4"/>
      <c r="M919" s="4"/>
    </row>
    <row r="920" spans="2:39" x14ac:dyDescent="0.55000000000000004">
      <c r="B920" s="9" t="s">
        <v>742</v>
      </c>
      <c r="C920" s="5">
        <v>0</v>
      </c>
      <c r="D920" s="4"/>
      <c r="E920" s="4"/>
      <c r="F920" s="4"/>
      <c r="G920" s="4"/>
      <c r="H920" s="4"/>
      <c r="I920" s="4"/>
      <c r="J920" s="4"/>
      <c r="K920" s="4"/>
      <c r="L920" s="4"/>
      <c r="M920" s="4"/>
    </row>
    <row r="921" spans="2:39" x14ac:dyDescent="0.55000000000000004">
      <c r="B921" s="9" t="s">
        <v>743</v>
      </c>
      <c r="C921" s="5">
        <v>0</v>
      </c>
      <c r="D921" s="4"/>
      <c r="E921" s="4"/>
      <c r="F921" s="4"/>
      <c r="G921" s="4"/>
      <c r="H921" s="4"/>
      <c r="I921" s="4"/>
      <c r="J921" s="4"/>
      <c r="K921" s="4"/>
      <c r="L921" s="4"/>
      <c r="M921" s="4"/>
    </row>
    <row r="922" spans="2:39" x14ac:dyDescent="0.55000000000000004">
      <c r="B922" s="9" t="s">
        <v>744</v>
      </c>
      <c r="C922" s="5">
        <v>0</v>
      </c>
      <c r="D922" s="4"/>
      <c r="E922" s="4"/>
      <c r="F922" s="4"/>
      <c r="G922" s="4"/>
      <c r="H922" s="4"/>
      <c r="I922" s="4"/>
      <c r="J922" s="4"/>
      <c r="K922" s="4"/>
      <c r="L922" s="4"/>
      <c r="M922" s="4"/>
    </row>
    <row r="923" spans="2:39" x14ac:dyDescent="0.55000000000000004">
      <c r="B923" s="9" t="s">
        <v>2197</v>
      </c>
      <c r="C923" s="5">
        <v>1.0269999999999999</v>
      </c>
      <c r="D923" s="4"/>
      <c r="E923" s="4"/>
      <c r="F923" s="4"/>
      <c r="G923" s="4"/>
      <c r="H923" s="4"/>
      <c r="I923" s="4"/>
      <c r="J923" s="4"/>
      <c r="K923" s="4"/>
      <c r="L923" s="4"/>
      <c r="M923" s="4"/>
    </row>
    <row r="924" spans="2:39" x14ac:dyDescent="0.55000000000000004">
      <c r="B924" s="9" t="s">
        <v>2199</v>
      </c>
      <c r="C924" s="5">
        <v>0</v>
      </c>
      <c r="D924" s="4"/>
      <c r="E924" s="4"/>
      <c r="F924" s="4"/>
      <c r="G924" s="4"/>
      <c r="H924" s="4"/>
      <c r="I924" s="4"/>
      <c r="J924" s="4"/>
      <c r="K924" s="4"/>
      <c r="L924" s="4"/>
      <c r="M924" s="4"/>
    </row>
    <row r="925" spans="2:39" x14ac:dyDescent="0.55000000000000004">
      <c r="B925" s="16"/>
      <c r="C925" s="4" t="s">
        <v>458</v>
      </c>
      <c r="D925" s="4"/>
      <c r="E925" s="4"/>
      <c r="F925" s="4"/>
      <c r="G925" s="4"/>
      <c r="H925" s="4"/>
      <c r="I925" s="4"/>
      <c r="J925" s="4"/>
      <c r="K925" s="4"/>
      <c r="L925" s="4"/>
      <c r="M925" s="4"/>
    </row>
    <row r="926" spans="2:39" x14ac:dyDescent="0.55000000000000004">
      <c r="B926" s="61" t="s">
        <v>730</v>
      </c>
      <c r="C926" s="4" t="s">
        <v>1160</v>
      </c>
      <c r="D926" s="4"/>
      <c r="E926" s="4"/>
      <c r="F926" s="4"/>
      <c r="G926" s="4"/>
      <c r="H926" s="4"/>
      <c r="I926" s="4"/>
      <c r="J926" s="4"/>
      <c r="K926" s="4"/>
      <c r="L926" s="4"/>
      <c r="M926" s="4"/>
    </row>
    <row r="927" spans="2:39" x14ac:dyDescent="0.55000000000000004">
      <c r="B927" s="9" t="s">
        <v>262</v>
      </c>
      <c r="C927" s="5" t="s">
        <v>2326</v>
      </c>
      <c r="D927" s="4"/>
      <c r="E927" s="4"/>
      <c r="F927" s="4"/>
      <c r="G927" s="4"/>
      <c r="H927" s="4"/>
      <c r="I927" s="4"/>
      <c r="J927" s="4"/>
      <c r="K927" s="4"/>
      <c r="L927" s="4"/>
      <c r="M927" s="4"/>
    </row>
    <row r="928" spans="2:39" x14ac:dyDescent="0.55000000000000004">
      <c r="B928" s="9" t="s">
        <v>261</v>
      </c>
      <c r="C928" s="5" t="s">
        <v>2327</v>
      </c>
      <c r="D928" s="4"/>
      <c r="E928" s="4"/>
      <c r="F928" s="4"/>
      <c r="G928" s="4"/>
      <c r="H928" s="4"/>
      <c r="I928" s="4"/>
      <c r="J928" s="4"/>
      <c r="K928" s="4"/>
      <c r="L928" s="4"/>
      <c r="M928" s="4"/>
    </row>
    <row r="929" spans="1:13" x14ac:dyDescent="0.55000000000000004">
      <c r="B929" s="9" t="s">
        <v>258</v>
      </c>
      <c r="C929" s="5" t="s">
        <v>2328</v>
      </c>
      <c r="D929" s="4"/>
      <c r="E929" s="4"/>
      <c r="F929" s="4"/>
      <c r="G929" s="4"/>
      <c r="H929" s="4"/>
      <c r="I929" s="4"/>
      <c r="J929" s="4"/>
      <c r="K929" s="4"/>
      <c r="L929" s="4"/>
      <c r="M929" s="4"/>
    </row>
    <row r="930" spans="1:13" x14ac:dyDescent="0.55000000000000004">
      <c r="B930" s="9" t="s">
        <v>259</v>
      </c>
      <c r="C930" s="5" t="s">
        <v>2329</v>
      </c>
      <c r="D930" s="4"/>
      <c r="E930" s="4"/>
      <c r="F930" s="4"/>
      <c r="G930" s="4"/>
      <c r="H930" s="4"/>
      <c r="I930" s="4"/>
      <c r="J930" s="4"/>
      <c r="K930" s="4"/>
      <c r="L930" s="4"/>
      <c r="M930" s="4"/>
    </row>
    <row r="931" spans="1:13" x14ac:dyDescent="0.55000000000000004">
      <c r="B931" s="9" t="s">
        <v>729</v>
      </c>
      <c r="C931" s="5" t="s">
        <v>2330</v>
      </c>
      <c r="D931" s="4"/>
      <c r="E931" s="4"/>
      <c r="F931" s="4"/>
      <c r="G931" s="4"/>
      <c r="H931" s="4"/>
      <c r="I931" s="4"/>
      <c r="J931" s="4"/>
      <c r="K931" s="4"/>
      <c r="L931" s="4"/>
      <c r="M931" s="4"/>
    </row>
    <row r="932" spans="1:13" x14ac:dyDescent="0.55000000000000004">
      <c r="B932" s="16"/>
      <c r="C932" s="4" t="s">
        <v>458</v>
      </c>
      <c r="D932" s="4"/>
      <c r="E932" s="4"/>
      <c r="F932" s="4"/>
      <c r="G932" s="4"/>
      <c r="H932" s="4"/>
      <c r="I932" s="4"/>
      <c r="J932" s="4"/>
      <c r="K932" s="4"/>
      <c r="L932" s="4"/>
      <c r="M932" s="4"/>
    </row>
    <row r="933" spans="1:13" x14ac:dyDescent="0.55000000000000004">
      <c r="B933" s="61" t="s">
        <v>206</v>
      </c>
      <c r="C933" s="4" t="s">
        <v>82</v>
      </c>
      <c r="D933" s="4" t="s">
        <v>83</v>
      </c>
      <c r="E933" s="4" t="s">
        <v>84</v>
      </c>
      <c r="F933" s="4" t="s">
        <v>85</v>
      </c>
      <c r="G933" s="4" t="s">
        <v>86</v>
      </c>
      <c r="H933" s="4" t="s">
        <v>87</v>
      </c>
      <c r="I933" s="4" t="s">
        <v>88</v>
      </c>
      <c r="J933" s="4" t="s">
        <v>89</v>
      </c>
      <c r="K933" s="4" t="s">
        <v>93</v>
      </c>
      <c r="L933" s="4" t="s">
        <v>94</v>
      </c>
      <c r="M933" s="4"/>
    </row>
    <row r="934" spans="1:13" x14ac:dyDescent="0.55000000000000004">
      <c r="A934" s="25" t="s">
        <v>1235</v>
      </c>
      <c r="B934" s="9" t="s">
        <v>178</v>
      </c>
      <c r="C934" s="5" t="s">
        <v>2331</v>
      </c>
      <c r="D934" s="4"/>
      <c r="E934" s="4"/>
      <c r="F934" s="4"/>
      <c r="G934" s="4"/>
      <c r="H934" s="4"/>
      <c r="I934" s="4"/>
      <c r="J934" s="4"/>
      <c r="K934" s="4"/>
      <c r="L934" s="4"/>
      <c r="M934" s="4"/>
    </row>
    <row r="935" spans="1:13" x14ac:dyDescent="0.55000000000000004">
      <c r="B935" s="9" t="s">
        <v>1228</v>
      </c>
      <c r="C935" s="5" t="s">
        <v>2332</v>
      </c>
      <c r="D935" s="4"/>
      <c r="E935" s="4"/>
      <c r="F935" s="4"/>
      <c r="G935" s="4"/>
      <c r="H935" s="4"/>
      <c r="I935" s="4"/>
      <c r="J935" s="4"/>
      <c r="K935" s="4"/>
      <c r="L935" s="4"/>
      <c r="M935" s="4"/>
    </row>
    <row r="936" spans="1:13" x14ac:dyDescent="0.55000000000000004">
      <c r="B936" s="9" t="s">
        <v>179</v>
      </c>
      <c r="C936" s="5" t="s">
        <v>2333</v>
      </c>
      <c r="D936" s="4"/>
      <c r="E936" s="4"/>
      <c r="F936" s="4"/>
      <c r="G936" s="4"/>
      <c r="H936" s="4"/>
      <c r="I936" s="4"/>
      <c r="J936" s="4"/>
      <c r="K936" s="4"/>
      <c r="L936" s="4"/>
      <c r="M936" s="4"/>
    </row>
    <row r="937" spans="1:13" x14ac:dyDescent="0.55000000000000004">
      <c r="B937" s="9" t="s">
        <v>1680</v>
      </c>
      <c r="C937" s="5" t="s">
        <v>2334</v>
      </c>
      <c r="D937" s="4"/>
      <c r="E937" s="4"/>
      <c r="F937" s="4"/>
      <c r="G937" s="4"/>
      <c r="H937" s="4"/>
      <c r="I937" s="4"/>
      <c r="J937" s="4"/>
      <c r="K937" s="4"/>
      <c r="L937" s="4"/>
      <c r="M937" s="4"/>
    </row>
    <row r="938" spans="1:13" x14ac:dyDescent="0.55000000000000004">
      <c r="B938" s="9" t="s">
        <v>180</v>
      </c>
      <c r="C938" s="5" t="s">
        <v>2335</v>
      </c>
      <c r="D938" s="4"/>
      <c r="E938" s="4"/>
      <c r="F938" s="4"/>
      <c r="G938" s="4"/>
      <c r="H938" s="4"/>
      <c r="I938" s="4"/>
      <c r="J938" s="4"/>
      <c r="K938" s="4"/>
      <c r="L938" s="4"/>
      <c r="M938" s="4"/>
    </row>
    <row r="939" spans="1:13" x14ac:dyDescent="0.55000000000000004">
      <c r="B939" s="9" t="s">
        <v>181</v>
      </c>
      <c r="C939" s="5" t="s">
        <v>2336</v>
      </c>
      <c r="D939" s="4"/>
      <c r="E939" s="4"/>
      <c r="F939" s="4"/>
      <c r="G939" s="4"/>
      <c r="H939" s="4"/>
      <c r="I939" s="4"/>
      <c r="J939" s="4"/>
      <c r="K939" s="4"/>
      <c r="L939" s="4"/>
      <c r="M939" s="4"/>
    </row>
    <row r="940" spans="1:13" x14ac:dyDescent="0.55000000000000004">
      <c r="A940" s="25" t="s">
        <v>1236</v>
      </c>
      <c r="B940" s="9" t="s">
        <v>182</v>
      </c>
      <c r="C940" s="5" t="s">
        <v>2337</v>
      </c>
      <c r="D940" s="4"/>
      <c r="E940" s="4"/>
      <c r="F940" s="4"/>
      <c r="G940" s="4"/>
      <c r="H940" s="4"/>
      <c r="I940" s="4"/>
      <c r="J940" s="4"/>
      <c r="K940" s="4"/>
      <c r="L940" s="4"/>
      <c r="M940" s="4"/>
    </row>
    <row r="941" spans="1:13" x14ac:dyDescent="0.55000000000000004">
      <c r="B941" s="9" t="s">
        <v>260</v>
      </c>
      <c r="C941" s="5" t="s">
        <v>2338</v>
      </c>
      <c r="D941" s="4"/>
      <c r="E941" s="4"/>
      <c r="F941" s="4"/>
      <c r="G941" s="4"/>
      <c r="H941" s="4"/>
      <c r="I941" s="4"/>
      <c r="J941" s="4"/>
      <c r="K941" s="4"/>
      <c r="L941" s="4"/>
      <c r="M941" s="4"/>
    </row>
    <row r="942" spans="1:13" x14ac:dyDescent="0.55000000000000004">
      <c r="B942" s="9" t="s">
        <v>183</v>
      </c>
      <c r="C942" s="5" t="s">
        <v>2339</v>
      </c>
      <c r="D942" s="4"/>
      <c r="E942" s="4"/>
      <c r="F942" s="4"/>
      <c r="G942" s="4"/>
      <c r="H942" s="4"/>
      <c r="I942" s="4"/>
      <c r="J942" s="4"/>
      <c r="K942" s="4"/>
      <c r="L942" s="4"/>
      <c r="M942" s="4"/>
    </row>
    <row r="943" spans="1:13" x14ac:dyDescent="0.55000000000000004">
      <c r="B943" s="9" t="s">
        <v>184</v>
      </c>
      <c r="C943" s="5" t="s">
        <v>2340</v>
      </c>
      <c r="D943" s="4"/>
      <c r="E943" s="4"/>
      <c r="F943" s="4"/>
      <c r="G943" s="4"/>
      <c r="H943" s="4"/>
      <c r="I943" s="4"/>
      <c r="J943" s="4"/>
      <c r="K943" s="4"/>
      <c r="L943" s="4"/>
      <c r="M943" s="4"/>
    </row>
    <row r="944" spans="1:13" x14ac:dyDescent="0.55000000000000004">
      <c r="B944" s="9" t="s">
        <v>185</v>
      </c>
      <c r="C944" s="5" t="s">
        <v>2341</v>
      </c>
      <c r="D944" s="4"/>
      <c r="E944" s="4"/>
      <c r="F944" s="4"/>
      <c r="G944" s="4"/>
      <c r="H944" s="4"/>
      <c r="I944" s="4"/>
      <c r="J944" s="4"/>
      <c r="K944" s="4"/>
      <c r="L944" s="4"/>
      <c r="M944" s="4"/>
    </row>
    <row r="945" spans="2:13" x14ac:dyDescent="0.55000000000000004">
      <c r="B945" s="16"/>
      <c r="C945" s="5" t="s">
        <v>458</v>
      </c>
      <c r="D945" s="4"/>
      <c r="E945" s="4"/>
      <c r="F945" s="4"/>
      <c r="G945" s="4"/>
      <c r="H945" s="4"/>
      <c r="I945" s="4"/>
      <c r="J945" s="4"/>
      <c r="K945" s="4"/>
      <c r="L945" s="4"/>
      <c r="M945" s="4"/>
    </row>
    <row r="946" spans="2:13" x14ac:dyDescent="0.55000000000000004">
      <c r="B946" s="61" t="s">
        <v>207</v>
      </c>
      <c r="C946" s="5" t="s">
        <v>23</v>
      </c>
      <c r="D946" s="4" t="s">
        <v>76</v>
      </c>
      <c r="E946" s="4" t="s">
        <v>77</v>
      </c>
      <c r="F946" s="4" t="s">
        <v>78</v>
      </c>
      <c r="G946" s="4" t="s">
        <v>79</v>
      </c>
      <c r="H946" s="4" t="s">
        <v>80</v>
      </c>
      <c r="I946" s="4" t="s">
        <v>81</v>
      </c>
      <c r="J946" s="4" t="s">
        <v>90</v>
      </c>
      <c r="K946" s="4" t="s">
        <v>91</v>
      </c>
      <c r="L946" s="4" t="s">
        <v>92</v>
      </c>
      <c r="M946" s="4"/>
    </row>
    <row r="947" spans="2:13" x14ac:dyDescent="0.55000000000000004">
      <c r="B947" s="9" t="s">
        <v>195</v>
      </c>
      <c r="C947" s="5" t="s">
        <v>2342</v>
      </c>
      <c r="D947" s="4"/>
      <c r="E947" s="4"/>
      <c r="F947" s="4"/>
      <c r="G947" s="4"/>
      <c r="H947" s="4"/>
      <c r="I947" s="4"/>
      <c r="J947" s="4"/>
      <c r="K947" s="4"/>
      <c r="L947" s="4"/>
      <c r="M947" s="4"/>
    </row>
    <row r="948" spans="2:13" x14ac:dyDescent="0.55000000000000004">
      <c r="B948" s="9" t="s">
        <v>196</v>
      </c>
      <c r="C948" s="5" t="s">
        <v>2343</v>
      </c>
      <c r="D948" s="4"/>
      <c r="E948" s="4"/>
      <c r="F948" s="4"/>
      <c r="G948" s="4"/>
      <c r="H948" s="4"/>
      <c r="I948" s="4"/>
      <c r="J948" s="4"/>
      <c r="K948" s="4"/>
      <c r="L948" s="4"/>
      <c r="M948" s="4"/>
    </row>
    <row r="949" spans="2:13" x14ac:dyDescent="0.55000000000000004">
      <c r="B949" s="9" t="s">
        <v>197</v>
      </c>
      <c r="C949" s="5" t="s">
        <v>2344</v>
      </c>
      <c r="D949" s="4"/>
      <c r="E949" s="4"/>
      <c r="F949" s="4"/>
      <c r="G949" s="4"/>
      <c r="H949" s="4"/>
      <c r="I949" s="4"/>
      <c r="J949" s="4"/>
      <c r="K949" s="4"/>
      <c r="L949" s="4"/>
      <c r="M949" s="4"/>
    </row>
    <row r="950" spans="2:13" x14ac:dyDescent="0.55000000000000004">
      <c r="B950" s="9" t="s">
        <v>198</v>
      </c>
      <c r="C950" s="5" t="s">
        <v>2345</v>
      </c>
      <c r="D950" s="4"/>
      <c r="E950" s="4"/>
      <c r="F950" s="4"/>
      <c r="G950" s="4"/>
      <c r="H950" s="4"/>
      <c r="I950" s="4"/>
      <c r="J950" s="4"/>
      <c r="K950" s="4"/>
      <c r="L950" s="4"/>
      <c r="M950" s="4"/>
    </row>
    <row r="951" spans="2:13" x14ac:dyDescent="0.55000000000000004">
      <c r="B951" s="9" t="s">
        <v>521</v>
      </c>
      <c r="C951" s="5" t="s">
        <v>2346</v>
      </c>
      <c r="D951" s="4"/>
      <c r="E951" s="4"/>
      <c r="F951" s="4"/>
      <c r="G951" s="4"/>
      <c r="H951" s="4"/>
      <c r="I951" s="4"/>
      <c r="J951" s="4"/>
      <c r="K951" s="4"/>
      <c r="L951" s="4"/>
      <c r="M951" s="4"/>
    </row>
    <row r="952" spans="2:13" x14ac:dyDescent="0.55000000000000004">
      <c r="B952" s="9" t="s">
        <v>522</v>
      </c>
      <c r="C952" s="5" t="s">
        <v>2347</v>
      </c>
      <c r="D952" s="4"/>
      <c r="E952" s="4"/>
      <c r="F952" s="4"/>
      <c r="G952" s="4"/>
      <c r="H952" s="4"/>
      <c r="I952" s="4"/>
      <c r="J952" s="4"/>
      <c r="K952" s="4"/>
      <c r="L952" s="4"/>
      <c r="M952" s="4"/>
    </row>
    <row r="953" spans="2:13" x14ac:dyDescent="0.55000000000000004">
      <c r="B953" s="9" t="s">
        <v>523</v>
      </c>
      <c r="C953" s="5" t="s">
        <v>2348</v>
      </c>
      <c r="D953" s="4"/>
      <c r="E953" s="4"/>
      <c r="F953" s="4"/>
      <c r="G953" s="4"/>
      <c r="H953" s="4"/>
      <c r="I953" s="4"/>
      <c r="J953" s="4"/>
      <c r="K953" s="4"/>
      <c r="L953" s="4"/>
      <c r="M953" s="4"/>
    </row>
    <row r="954" spans="2:13" x14ac:dyDescent="0.55000000000000004">
      <c r="B954" s="9" t="s">
        <v>524</v>
      </c>
      <c r="C954" s="5" t="s">
        <v>2349</v>
      </c>
      <c r="D954" s="4"/>
      <c r="E954" s="4"/>
      <c r="F954" s="4"/>
      <c r="G954" s="4"/>
      <c r="H954" s="4"/>
      <c r="I954" s="4"/>
      <c r="J954" s="4"/>
      <c r="K954" s="4"/>
      <c r="L954" s="4"/>
      <c r="M954" s="4"/>
    </row>
    <row r="955" spans="2:13" x14ac:dyDescent="0.55000000000000004">
      <c r="B955" s="9" t="s">
        <v>525</v>
      </c>
      <c r="C955" s="5" t="s">
        <v>2350</v>
      </c>
      <c r="D955" s="4"/>
      <c r="E955" s="4"/>
      <c r="F955" s="4"/>
      <c r="G955" s="4"/>
      <c r="H955" s="4"/>
      <c r="I955" s="4"/>
      <c r="J955" s="4"/>
      <c r="K955" s="4"/>
      <c r="L955" s="4"/>
      <c r="M955" s="4"/>
    </row>
    <row r="956" spans="2:13" x14ac:dyDescent="0.55000000000000004">
      <c r="B956" s="9" t="s">
        <v>526</v>
      </c>
      <c r="C956" s="5" t="s">
        <v>2351</v>
      </c>
      <c r="D956" s="4"/>
      <c r="E956" s="4"/>
      <c r="F956" s="4"/>
      <c r="G956" s="4"/>
      <c r="H956" s="4"/>
      <c r="I956" s="4"/>
      <c r="J956" s="4"/>
      <c r="K956" s="4"/>
      <c r="L956" s="4"/>
      <c r="M956" s="4"/>
    </row>
    <row r="957" spans="2:13" x14ac:dyDescent="0.55000000000000004">
      <c r="B957" s="9" t="s">
        <v>527</v>
      </c>
      <c r="C957" s="5" t="s">
        <v>2352</v>
      </c>
      <c r="D957" s="4"/>
      <c r="E957" s="4"/>
      <c r="F957" s="4"/>
      <c r="G957" s="4"/>
      <c r="H957" s="4"/>
      <c r="I957" s="4"/>
      <c r="J957" s="4"/>
      <c r="K957" s="4"/>
      <c r="L957" s="4"/>
      <c r="M957" s="4"/>
    </row>
    <row r="958" spans="2:13" x14ac:dyDescent="0.55000000000000004">
      <c r="B958" s="9" t="s">
        <v>528</v>
      </c>
      <c r="C958" s="5" t="s">
        <v>2353</v>
      </c>
      <c r="D958" s="4"/>
      <c r="E958" s="4"/>
      <c r="F958" s="4"/>
      <c r="G958" s="4"/>
      <c r="H958" s="4"/>
      <c r="I958" s="4"/>
      <c r="J958" s="4"/>
      <c r="K958" s="4"/>
      <c r="L958" s="4"/>
      <c r="M958" s="4"/>
    </row>
    <row r="959" spans="2:13" x14ac:dyDescent="0.55000000000000004">
      <c r="B959" s="9" t="s">
        <v>529</v>
      </c>
      <c r="C959" s="5" t="s">
        <v>2354</v>
      </c>
      <c r="D959" s="4"/>
      <c r="E959" s="4"/>
      <c r="F959" s="4"/>
      <c r="G959" s="4"/>
      <c r="H959" s="4"/>
      <c r="I959" s="4"/>
      <c r="J959" s="4"/>
      <c r="K959" s="4"/>
      <c r="L959" s="4"/>
      <c r="M959" s="4"/>
    </row>
    <row r="960" spans="2:13" x14ac:dyDescent="0.55000000000000004">
      <c r="B960" s="9" t="s">
        <v>530</v>
      </c>
      <c r="C960" s="5" t="s">
        <v>2355</v>
      </c>
      <c r="D960" s="4"/>
      <c r="E960" s="4"/>
      <c r="F960" s="4"/>
      <c r="G960" s="4"/>
      <c r="H960" s="4"/>
      <c r="I960" s="4"/>
      <c r="J960" s="4"/>
      <c r="K960" s="4"/>
      <c r="L960" s="4"/>
      <c r="M960" s="4"/>
    </row>
    <row r="961" spans="2:13" x14ac:dyDescent="0.55000000000000004">
      <c r="B961" s="9" t="s">
        <v>1229</v>
      </c>
      <c r="C961" s="5" t="s">
        <v>2356</v>
      </c>
      <c r="D961" s="4"/>
      <c r="E961" s="4"/>
      <c r="F961" s="4"/>
      <c r="G961" s="4"/>
      <c r="H961" s="4"/>
      <c r="I961" s="4"/>
      <c r="J961" s="4"/>
      <c r="K961" s="4"/>
      <c r="L961" s="4"/>
      <c r="M961" s="4"/>
    </row>
    <row r="962" spans="2:13" x14ac:dyDescent="0.55000000000000004">
      <c r="B962" s="9" t="s">
        <v>531</v>
      </c>
      <c r="C962" s="5" t="s">
        <v>2357</v>
      </c>
      <c r="D962" s="4"/>
      <c r="E962" s="4"/>
      <c r="F962" s="4"/>
      <c r="G962" s="4"/>
      <c r="H962" s="4"/>
      <c r="I962" s="4"/>
      <c r="J962" s="4"/>
      <c r="K962" s="4"/>
      <c r="L962" s="4"/>
      <c r="M962" s="4"/>
    </row>
    <row r="963" spans="2:13" x14ac:dyDescent="0.55000000000000004">
      <c r="B963" s="28" t="s">
        <v>607</v>
      </c>
      <c r="C963" s="4"/>
      <c r="D963" s="4"/>
      <c r="E963" s="4"/>
      <c r="F963" s="4"/>
      <c r="G963" s="4"/>
      <c r="H963" s="4"/>
      <c r="I963" s="4"/>
      <c r="J963" s="4"/>
      <c r="K963" s="4"/>
      <c r="L963" s="4"/>
      <c r="M963" s="4"/>
    </row>
  </sheetData>
  <phoneticPr fontId="9"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2423160</xdr:colOff>
                    <xdr:row>6</xdr:row>
                    <xdr:rowOff>179070</xdr:rowOff>
                  </from>
                  <to>
                    <xdr:col>1</xdr:col>
                    <xdr:colOff>4088130</xdr:colOff>
                    <xdr:row>11</xdr:row>
                    <xdr:rowOff>15240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21"/>
  <sheetViews>
    <sheetView workbookViewId="0">
      <selection activeCell="C2" sqref="C2:C3"/>
    </sheetView>
  </sheetViews>
  <sheetFormatPr defaultRowHeight="14.4" x14ac:dyDescent="0.55000000000000004"/>
  <cols>
    <col min="1" max="1" width="41.5234375" customWidth="1"/>
    <col min="2" max="2" width="15.5234375" customWidth="1"/>
    <col min="3" max="3" width="10.3125" customWidth="1"/>
  </cols>
  <sheetData>
    <row r="1" spans="1:14" x14ac:dyDescent="0.55000000000000004">
      <c r="A1" s="13" t="s">
        <v>1265</v>
      </c>
      <c r="B1" s="13"/>
      <c r="C1" s="13"/>
      <c r="D1" s="13"/>
      <c r="E1" s="13"/>
      <c r="F1" s="13"/>
      <c r="G1" s="38"/>
      <c r="H1" s="38"/>
      <c r="I1" s="38"/>
    </row>
    <row r="2" spans="1:14" x14ac:dyDescent="0.55000000000000004">
      <c r="A2" s="13" t="s">
        <v>1269</v>
      </c>
      <c r="B2" s="13" t="s">
        <v>1270</v>
      </c>
      <c r="C2" s="59" t="s">
        <v>2463</v>
      </c>
      <c r="D2" s="13"/>
      <c r="E2" s="13"/>
      <c r="F2" s="13"/>
      <c r="G2" s="38"/>
      <c r="H2" s="38"/>
      <c r="I2" s="38"/>
    </row>
    <row r="3" spans="1:14" x14ac:dyDescent="0.55000000000000004">
      <c r="A3" s="5">
        <v>9</v>
      </c>
      <c r="B3" s="5" t="s">
        <v>1271</v>
      </c>
      <c r="C3" s="59" t="s">
        <v>2</v>
      </c>
      <c r="D3" s="13"/>
      <c r="E3" s="13"/>
      <c r="F3" s="13"/>
      <c r="G3" s="38"/>
      <c r="H3" s="38"/>
      <c r="I3" s="38"/>
      <c r="N3" t="s">
        <v>1614</v>
      </c>
    </row>
    <row r="4" spans="1:14" x14ac:dyDescent="0.55000000000000004">
      <c r="A4" s="13" t="s">
        <v>1272</v>
      </c>
      <c r="B4" s="13" t="s">
        <v>1273</v>
      </c>
      <c r="C4" s="13" t="s">
        <v>1274</v>
      </c>
      <c r="D4" s="13" t="s">
        <v>1275</v>
      </c>
      <c r="E4" s="13"/>
      <c r="F4" s="13"/>
      <c r="G4" s="38"/>
      <c r="H4" s="38"/>
      <c r="I4" s="38"/>
      <c r="N4" s="66" t="s">
        <v>1613</v>
      </c>
    </row>
    <row r="5" spans="1:14" x14ac:dyDescent="0.55000000000000004">
      <c r="A5" s="13" t="s">
        <v>1276</v>
      </c>
      <c r="B5" s="5">
        <v>0</v>
      </c>
      <c r="C5" s="5">
        <v>18</v>
      </c>
      <c r="D5" s="5">
        <v>5</v>
      </c>
      <c r="E5" s="13"/>
      <c r="F5" s="13"/>
      <c r="G5" s="38"/>
      <c r="H5" s="38"/>
      <c r="I5" s="38"/>
    </row>
    <row r="6" spans="1:14" x14ac:dyDescent="0.55000000000000004">
      <c r="A6" s="13" t="s">
        <v>1277</v>
      </c>
      <c r="B6" s="5">
        <v>10</v>
      </c>
      <c r="C6" s="5">
        <v>24</v>
      </c>
      <c r="D6" s="5">
        <v>5</v>
      </c>
      <c r="E6" s="13"/>
      <c r="F6" s="13"/>
      <c r="G6" s="38"/>
      <c r="H6" s="38"/>
      <c r="I6" s="38"/>
    </row>
    <row r="7" spans="1:14" x14ac:dyDescent="0.55000000000000004">
      <c r="A7" s="13" t="s">
        <v>1278</v>
      </c>
      <c r="B7" s="5">
        <v>12</v>
      </c>
      <c r="C7" s="5">
        <v>24</v>
      </c>
      <c r="D7" s="5">
        <v>5</v>
      </c>
      <c r="E7" s="13"/>
      <c r="F7" s="13"/>
      <c r="G7" s="38"/>
      <c r="H7" s="38"/>
      <c r="I7" s="38"/>
    </row>
    <row r="8" spans="1:14" x14ac:dyDescent="0.55000000000000004">
      <c r="A8" s="13" t="s">
        <v>1279</v>
      </c>
      <c r="B8" s="5">
        <v>0</v>
      </c>
      <c r="C8" s="5">
        <v>28</v>
      </c>
      <c r="D8" s="5">
        <v>3</v>
      </c>
      <c r="E8" s="13"/>
      <c r="F8" s="13"/>
      <c r="G8" s="38"/>
      <c r="H8" s="38"/>
      <c r="I8" s="38"/>
    </row>
    <row r="9" spans="1:14" x14ac:dyDescent="0.55000000000000004">
      <c r="A9" s="13" t="s">
        <v>1280</v>
      </c>
      <c r="B9" s="5">
        <v>0</v>
      </c>
      <c r="C9" s="5">
        <v>29</v>
      </c>
      <c r="D9" s="5">
        <v>4</v>
      </c>
      <c r="E9" s="13"/>
      <c r="F9" s="13"/>
      <c r="G9" s="38"/>
      <c r="H9" s="38"/>
      <c r="I9" s="38"/>
    </row>
    <row r="10" spans="1:14" x14ac:dyDescent="0.55000000000000004">
      <c r="A10" s="13" t="s">
        <v>1281</v>
      </c>
      <c r="B10" s="5">
        <v>0</v>
      </c>
      <c r="C10" s="5">
        <v>24.4</v>
      </c>
      <c r="D10" s="5">
        <v>6</v>
      </c>
      <c r="E10" s="13"/>
      <c r="F10" s="13"/>
      <c r="G10" s="38"/>
      <c r="H10" s="38"/>
      <c r="I10" s="38"/>
    </row>
    <row r="11" spans="1:14" x14ac:dyDescent="0.55000000000000004">
      <c r="A11" s="13" t="s">
        <v>1282</v>
      </c>
      <c r="B11" s="5">
        <v>10</v>
      </c>
      <c r="C11" s="5">
        <v>26.7</v>
      </c>
      <c r="D11" s="5">
        <v>6</v>
      </c>
      <c r="E11" s="13"/>
      <c r="F11" s="13"/>
      <c r="G11" s="38"/>
      <c r="H11" s="38"/>
      <c r="I11" s="38"/>
    </row>
    <row r="12" spans="1:14" x14ac:dyDescent="0.55000000000000004">
      <c r="A12" s="13" t="s">
        <v>1283</v>
      </c>
      <c r="B12" s="5">
        <v>10</v>
      </c>
      <c r="C12" s="5">
        <v>30</v>
      </c>
      <c r="D12" s="5">
        <v>5</v>
      </c>
      <c r="E12" s="13"/>
      <c r="F12" s="13"/>
      <c r="G12" s="38"/>
      <c r="H12" s="38"/>
      <c r="I12" s="38"/>
    </row>
    <row r="13" spans="1:14" x14ac:dyDescent="0.55000000000000004">
      <c r="A13" s="13" t="s">
        <v>1284</v>
      </c>
      <c r="B13" s="5">
        <v>18</v>
      </c>
      <c r="C13" s="5">
        <v>31</v>
      </c>
      <c r="D13" s="5">
        <v>5</v>
      </c>
      <c r="E13" s="13"/>
      <c r="F13" s="13"/>
      <c r="G13" s="38"/>
      <c r="H13" s="38"/>
      <c r="I13" s="38"/>
    </row>
    <row r="14" spans="1:14" x14ac:dyDescent="0.55000000000000004">
      <c r="A14" s="13" t="s">
        <v>1285</v>
      </c>
      <c r="B14" s="13" t="s">
        <v>1286</v>
      </c>
      <c r="C14" s="13"/>
      <c r="D14" s="13"/>
      <c r="E14" s="13"/>
      <c r="F14" s="13"/>
      <c r="G14" s="38"/>
      <c r="H14" s="38"/>
      <c r="I14" s="38"/>
    </row>
    <row r="15" spans="1:14" x14ac:dyDescent="0.55000000000000004">
      <c r="A15" s="5">
        <v>3</v>
      </c>
      <c r="B15" s="5" t="s">
        <v>1287</v>
      </c>
      <c r="C15" s="13"/>
      <c r="D15" s="13"/>
      <c r="E15" s="13"/>
      <c r="F15" s="13"/>
      <c r="G15" s="38"/>
      <c r="H15" s="38"/>
      <c r="I15" s="38"/>
    </row>
    <row r="16" spans="1:14" x14ac:dyDescent="0.55000000000000004">
      <c r="A16" s="13" t="s">
        <v>1266</v>
      </c>
      <c r="B16" s="13"/>
      <c r="C16" s="13"/>
      <c r="D16" s="13"/>
      <c r="E16" s="13"/>
      <c r="F16" s="13"/>
      <c r="G16" s="38"/>
      <c r="H16" s="38"/>
      <c r="I16" s="38"/>
    </row>
    <row r="17" spans="1:9" x14ac:dyDescent="0.55000000000000004">
      <c r="A17" s="5">
        <v>10</v>
      </c>
      <c r="B17" s="5">
        <v>15</v>
      </c>
      <c r="C17" s="5">
        <v>24</v>
      </c>
      <c r="D17" s="13"/>
      <c r="E17" s="13"/>
      <c r="F17" s="13"/>
      <c r="G17" s="38"/>
      <c r="H17" s="38"/>
      <c r="I17" s="38"/>
    </row>
    <row r="18" spans="1:9" x14ac:dyDescent="0.55000000000000004">
      <c r="A18" s="13" t="s">
        <v>1288</v>
      </c>
      <c r="B18" s="13" t="s">
        <v>1289</v>
      </c>
      <c r="C18" s="13"/>
      <c r="D18" s="13"/>
      <c r="E18" s="13"/>
      <c r="F18" s="13"/>
      <c r="G18" s="38"/>
      <c r="H18" s="38"/>
      <c r="I18" s="38"/>
    </row>
    <row r="19" spans="1:9" x14ac:dyDescent="0.55000000000000004">
      <c r="A19" s="5">
        <v>4</v>
      </c>
      <c r="B19" s="5" t="s">
        <v>1290</v>
      </c>
      <c r="C19" s="13"/>
      <c r="D19" s="13"/>
      <c r="E19" s="13"/>
      <c r="F19" s="13"/>
      <c r="G19" s="38"/>
      <c r="H19" s="38"/>
      <c r="I19" s="38"/>
    </row>
    <row r="20" spans="1:9" x14ac:dyDescent="0.55000000000000004">
      <c r="A20" s="13" t="s">
        <v>1267</v>
      </c>
      <c r="B20" s="13"/>
      <c r="C20" s="13"/>
      <c r="D20" s="13"/>
      <c r="E20" s="13"/>
      <c r="F20" s="13"/>
      <c r="G20" s="38"/>
      <c r="H20" s="38"/>
      <c r="I20" s="38"/>
    </row>
    <row r="21" spans="1:9" x14ac:dyDescent="0.55000000000000004">
      <c r="A21" s="5" t="s">
        <v>1268</v>
      </c>
      <c r="B21" s="13"/>
      <c r="C21" s="13"/>
      <c r="D21" s="13"/>
      <c r="E21" s="13"/>
      <c r="F21" s="13"/>
      <c r="G21" s="38"/>
      <c r="H21" s="38"/>
      <c r="I21" s="38"/>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422910</xdr:colOff>
                    <xdr:row>0</xdr:row>
                    <xdr:rowOff>175260</xdr:rowOff>
                  </from>
                  <to>
                    <xdr:col>12</xdr:col>
                    <xdr:colOff>175260</xdr:colOff>
                    <xdr:row>5</xdr:row>
                    <xdr:rowOff>7620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5BF7A-FACA-4CC4-92DB-FC02ECD9BD36}">
  <sheetPr codeName="Sheet2"/>
  <dimension ref="A1:O144"/>
  <sheetViews>
    <sheetView topLeftCell="A108" zoomScale="90" zoomScaleNormal="90" workbookViewId="0">
      <selection activeCell="A148" sqref="A148"/>
    </sheetView>
  </sheetViews>
  <sheetFormatPr defaultRowHeight="14.4" x14ac:dyDescent="0.55000000000000004"/>
  <cols>
    <col min="1" max="1" width="68.05078125" bestFit="1" customWidth="1"/>
  </cols>
  <sheetData>
    <row r="1" spans="1:15" x14ac:dyDescent="0.55000000000000004">
      <c r="A1" s="47" t="s">
        <v>1683</v>
      </c>
      <c r="B1" s="41"/>
      <c r="C1" s="41"/>
      <c r="D1" s="41"/>
      <c r="E1" s="41"/>
      <c r="F1" s="41"/>
      <c r="G1" s="41"/>
      <c r="H1" s="31"/>
    </row>
    <row r="2" spans="1:15" x14ac:dyDescent="0.55000000000000004">
      <c r="A2" s="47" t="s">
        <v>1684</v>
      </c>
      <c r="B2" s="41"/>
      <c r="C2" s="41"/>
      <c r="D2" s="41"/>
      <c r="E2" s="41"/>
      <c r="F2" s="41"/>
      <c r="G2" s="41"/>
      <c r="H2" s="31"/>
      <c r="M2" t="s">
        <v>1614</v>
      </c>
    </row>
    <row r="3" spans="1:15" x14ac:dyDescent="0.55000000000000004">
      <c r="A3" s="47" t="s">
        <v>1685</v>
      </c>
      <c r="B3" s="41"/>
      <c r="C3" s="41"/>
      <c r="D3" s="41"/>
      <c r="E3" s="41"/>
      <c r="F3" s="41"/>
      <c r="G3" s="41"/>
      <c r="H3" s="31"/>
      <c r="M3" s="66" t="s">
        <v>1613</v>
      </c>
    </row>
    <row r="4" spans="1:15" x14ac:dyDescent="0.55000000000000004">
      <c r="A4" s="47" t="s">
        <v>1686</v>
      </c>
      <c r="B4" s="41"/>
      <c r="C4" s="41"/>
      <c r="D4" s="41"/>
      <c r="E4" s="41"/>
      <c r="F4" s="41"/>
      <c r="G4" s="41"/>
      <c r="H4" s="31"/>
    </row>
    <row r="5" spans="1:15" x14ac:dyDescent="0.55000000000000004">
      <c r="A5" s="41" t="s">
        <v>1690</v>
      </c>
      <c r="B5" s="5" t="s">
        <v>1687</v>
      </c>
      <c r="C5" s="41"/>
      <c r="D5" s="41"/>
      <c r="E5" s="41"/>
      <c r="F5" s="41"/>
      <c r="G5" s="41"/>
      <c r="H5" s="31"/>
    </row>
    <row r="6" spans="1:15" x14ac:dyDescent="0.55000000000000004">
      <c r="A6" s="41" t="s">
        <v>1769</v>
      </c>
      <c r="B6" s="5" t="s">
        <v>1688</v>
      </c>
      <c r="C6" s="41"/>
      <c r="D6" s="41"/>
      <c r="E6" s="41"/>
      <c r="F6" s="41"/>
      <c r="G6" s="41"/>
      <c r="H6" s="31"/>
    </row>
    <row r="7" spans="1:15" x14ac:dyDescent="0.55000000000000004">
      <c r="A7" s="9" t="s">
        <v>1770</v>
      </c>
      <c r="B7" s="9">
        <v>5</v>
      </c>
      <c r="C7" s="9"/>
      <c r="D7" s="9"/>
      <c r="E7" s="9"/>
      <c r="F7" s="9"/>
      <c r="G7" s="9"/>
      <c r="H7" s="10"/>
      <c r="I7" s="86">
        <v>1</v>
      </c>
      <c r="J7" t="s">
        <v>1821</v>
      </c>
      <c r="O7" t="s">
        <v>1842</v>
      </c>
    </row>
    <row r="8" spans="1:15" x14ac:dyDescent="0.55000000000000004">
      <c r="A8" s="9" t="s">
        <v>1771</v>
      </c>
      <c r="B8" s="9">
        <v>1</v>
      </c>
      <c r="C8" s="9">
        <v>65</v>
      </c>
      <c r="D8" s="9">
        <v>125</v>
      </c>
      <c r="E8" s="9">
        <v>200</v>
      </c>
      <c r="F8" s="9">
        <v>300</v>
      </c>
      <c r="G8" s="9"/>
      <c r="H8" s="90"/>
      <c r="I8" s="87">
        <v>2</v>
      </c>
      <c r="O8" t="s">
        <v>1837</v>
      </c>
    </row>
    <row r="9" spans="1:15" x14ac:dyDescent="0.55000000000000004">
      <c r="A9" s="9" t="s">
        <v>1772</v>
      </c>
      <c r="B9" s="12">
        <v>50</v>
      </c>
      <c r="C9" s="9">
        <v>100</v>
      </c>
      <c r="D9" s="9">
        <v>175</v>
      </c>
      <c r="E9" s="9">
        <v>250</v>
      </c>
      <c r="F9" s="9">
        <v>400</v>
      </c>
      <c r="G9" s="9"/>
      <c r="H9" s="90"/>
      <c r="I9" s="87">
        <v>3</v>
      </c>
      <c r="O9" t="s">
        <v>1838</v>
      </c>
    </row>
    <row r="10" spans="1:15" x14ac:dyDescent="0.55000000000000004">
      <c r="A10" s="9" t="s">
        <v>1773</v>
      </c>
      <c r="B10" s="9">
        <v>360000</v>
      </c>
      <c r="C10" s="9"/>
      <c r="D10" s="9"/>
      <c r="E10" s="9"/>
      <c r="F10" s="9"/>
      <c r="G10" s="9"/>
      <c r="H10" s="10"/>
      <c r="I10" s="86">
        <v>4</v>
      </c>
      <c r="O10" t="s">
        <v>1839</v>
      </c>
    </row>
    <row r="11" spans="1:15" x14ac:dyDescent="0.55000000000000004">
      <c r="A11" s="9" t="s">
        <v>1774</v>
      </c>
      <c r="B11" s="9">
        <v>0</v>
      </c>
      <c r="C11" s="9"/>
      <c r="D11" s="9"/>
      <c r="E11" s="9"/>
      <c r="F11" s="9"/>
      <c r="G11" s="9"/>
      <c r="H11" s="10"/>
      <c r="I11" s="86">
        <v>5</v>
      </c>
      <c r="O11" t="s">
        <v>1840</v>
      </c>
    </row>
    <row r="12" spans="1:15" x14ac:dyDescent="0.55000000000000004">
      <c r="A12" s="9" t="s">
        <v>1775</v>
      </c>
      <c r="B12" s="81" t="s">
        <v>1776</v>
      </c>
      <c r="C12" s="9"/>
      <c r="D12" s="9"/>
      <c r="E12" s="9"/>
      <c r="F12" s="9"/>
      <c r="G12" s="9"/>
      <c r="H12" s="10"/>
      <c r="I12" s="86">
        <v>6</v>
      </c>
      <c r="O12" t="s">
        <v>1841</v>
      </c>
    </row>
    <row r="13" spans="1:15" x14ac:dyDescent="0.55000000000000004">
      <c r="A13" s="41" t="s">
        <v>1768</v>
      </c>
      <c r="B13" s="5" t="s">
        <v>1688</v>
      </c>
      <c r="C13" s="41"/>
      <c r="D13" s="41"/>
      <c r="E13" s="41"/>
      <c r="F13" s="41"/>
      <c r="G13" s="41"/>
      <c r="H13" s="31"/>
      <c r="J13" t="s">
        <v>1836</v>
      </c>
    </row>
    <row r="14" spans="1:15" x14ac:dyDescent="0.55000000000000004">
      <c r="A14" s="13" t="s">
        <v>1777</v>
      </c>
      <c r="B14" s="13">
        <v>1</v>
      </c>
      <c r="C14" s="13"/>
      <c r="D14" s="13"/>
      <c r="E14" s="13"/>
      <c r="F14" s="13"/>
      <c r="G14" s="13"/>
      <c r="H14" s="91"/>
      <c r="I14" s="87">
        <v>1</v>
      </c>
      <c r="J14" t="s">
        <v>1843</v>
      </c>
      <c r="O14" t="s">
        <v>1822</v>
      </c>
    </row>
    <row r="15" spans="1:15" x14ac:dyDescent="0.55000000000000004">
      <c r="A15" s="82" t="s">
        <v>1778</v>
      </c>
      <c r="B15" s="13">
        <v>6</v>
      </c>
      <c r="C15" s="13"/>
      <c r="D15" s="13"/>
      <c r="E15" s="13"/>
      <c r="F15" s="13"/>
      <c r="G15" s="13"/>
      <c r="H15" s="91"/>
      <c r="I15" s="87">
        <v>2</v>
      </c>
      <c r="O15" t="s">
        <v>1823</v>
      </c>
    </row>
    <row r="16" spans="1:15" x14ac:dyDescent="0.55000000000000004">
      <c r="A16" s="82" t="s">
        <v>1779</v>
      </c>
      <c r="B16" s="13">
        <v>1</v>
      </c>
      <c r="C16" s="13">
        <v>14</v>
      </c>
      <c r="D16" s="13">
        <v>36</v>
      </c>
      <c r="E16" s="13">
        <v>54</v>
      </c>
      <c r="F16" s="13">
        <v>67</v>
      </c>
      <c r="G16" s="13">
        <v>82</v>
      </c>
      <c r="H16" s="91"/>
      <c r="I16" s="87">
        <v>3</v>
      </c>
      <c r="O16" t="s">
        <v>1824</v>
      </c>
    </row>
    <row r="17" spans="1:15" x14ac:dyDescent="0.55000000000000004">
      <c r="A17" s="82" t="s">
        <v>1780</v>
      </c>
      <c r="B17" s="13">
        <v>13</v>
      </c>
      <c r="C17" s="13">
        <v>35</v>
      </c>
      <c r="D17" s="13">
        <v>51</v>
      </c>
      <c r="E17" s="13">
        <v>66</v>
      </c>
      <c r="F17" s="13">
        <v>81</v>
      </c>
      <c r="G17" s="13">
        <v>90</v>
      </c>
      <c r="H17" s="91"/>
      <c r="I17" s="87">
        <v>4</v>
      </c>
      <c r="O17" t="s">
        <v>1825</v>
      </c>
    </row>
    <row r="18" spans="1:15" x14ac:dyDescent="0.55000000000000004">
      <c r="A18" s="13" t="s">
        <v>1781</v>
      </c>
      <c r="B18" s="13">
        <v>1</v>
      </c>
      <c r="C18" s="13">
        <v>1</v>
      </c>
      <c r="D18" s="13">
        <v>1</v>
      </c>
      <c r="E18" s="13">
        <v>1</v>
      </c>
      <c r="F18" s="13">
        <v>1</v>
      </c>
      <c r="G18" s="13">
        <v>1</v>
      </c>
      <c r="H18" s="91"/>
      <c r="I18" s="87">
        <v>5</v>
      </c>
      <c r="O18" t="s">
        <v>1826</v>
      </c>
    </row>
    <row r="19" spans="1:15" x14ac:dyDescent="0.55000000000000004">
      <c r="A19" s="13" t="s">
        <v>1782</v>
      </c>
      <c r="B19" s="13">
        <v>0</v>
      </c>
      <c r="C19" s="13">
        <v>0</v>
      </c>
      <c r="D19" s="13">
        <v>0</v>
      </c>
      <c r="E19" s="13">
        <v>0</v>
      </c>
      <c r="F19" s="13">
        <v>0</v>
      </c>
      <c r="G19" s="13">
        <v>0</v>
      </c>
      <c r="H19" s="91"/>
      <c r="I19" s="87">
        <v>6</v>
      </c>
      <c r="O19" t="s">
        <v>1827</v>
      </c>
    </row>
    <row r="20" spans="1:15" x14ac:dyDescent="0.55000000000000004">
      <c r="A20" s="13" t="s">
        <v>1783</v>
      </c>
      <c r="B20" s="13" t="s">
        <v>1784</v>
      </c>
      <c r="C20" s="83"/>
      <c r="D20" s="83"/>
      <c r="E20" s="83"/>
      <c r="F20" s="83"/>
      <c r="G20" s="83"/>
      <c r="H20" s="92"/>
      <c r="I20" s="87">
        <v>7</v>
      </c>
      <c r="O20" t="s">
        <v>1828</v>
      </c>
    </row>
    <row r="21" spans="1:15" x14ac:dyDescent="0.55000000000000004">
      <c r="A21" s="13" t="s">
        <v>1848</v>
      </c>
      <c r="B21" s="13" t="s">
        <v>1776</v>
      </c>
      <c r="C21" s="83"/>
      <c r="D21" s="83"/>
      <c r="E21" s="83"/>
      <c r="F21" s="83"/>
      <c r="G21" s="83"/>
      <c r="H21" s="93"/>
      <c r="I21" s="86">
        <v>8</v>
      </c>
      <c r="O21" t="s">
        <v>1846</v>
      </c>
    </row>
    <row r="22" spans="1:15" x14ac:dyDescent="0.55000000000000004">
      <c r="A22" s="13" t="s">
        <v>1849</v>
      </c>
      <c r="B22" s="13" t="s">
        <v>1776</v>
      </c>
      <c r="C22" s="83"/>
      <c r="D22" s="83"/>
      <c r="E22" s="83"/>
      <c r="F22" s="83"/>
      <c r="G22" s="83"/>
      <c r="H22" s="93"/>
      <c r="I22" s="86">
        <v>9</v>
      </c>
      <c r="O22" t="s">
        <v>1847</v>
      </c>
    </row>
    <row r="23" spans="1:15" x14ac:dyDescent="0.55000000000000004">
      <c r="A23" s="41" t="s">
        <v>1691</v>
      </c>
      <c r="B23" s="5" t="s">
        <v>1687</v>
      </c>
      <c r="C23" s="41"/>
      <c r="D23" s="41"/>
      <c r="E23" s="41"/>
      <c r="F23" s="41"/>
      <c r="G23" s="41"/>
      <c r="H23" s="31"/>
    </row>
    <row r="24" spans="1:15" x14ac:dyDescent="0.55000000000000004">
      <c r="A24" s="88" t="s">
        <v>1785</v>
      </c>
      <c r="B24" s="88">
        <v>0.2</v>
      </c>
      <c r="C24" s="88"/>
      <c r="D24" s="88"/>
      <c r="E24" s="88"/>
      <c r="F24" s="88"/>
      <c r="G24" s="88"/>
      <c r="H24" s="94"/>
      <c r="I24" s="87">
        <v>1</v>
      </c>
      <c r="J24" t="s">
        <v>1844</v>
      </c>
      <c r="O24" t="s">
        <v>1829</v>
      </c>
    </row>
    <row r="25" spans="1:15" x14ac:dyDescent="0.55000000000000004">
      <c r="A25" s="88" t="s">
        <v>1786</v>
      </c>
      <c r="B25" s="88">
        <v>0.8</v>
      </c>
      <c r="C25" s="88"/>
      <c r="D25" s="88"/>
      <c r="E25" s="88"/>
      <c r="F25" s="88"/>
      <c r="G25" s="88"/>
      <c r="H25" s="94"/>
      <c r="I25" s="87">
        <v>2</v>
      </c>
      <c r="O25" t="s">
        <v>1830</v>
      </c>
    </row>
    <row r="26" spans="1:15" x14ac:dyDescent="0.55000000000000004">
      <c r="A26" s="88" t="s">
        <v>1787</v>
      </c>
      <c r="B26" s="88">
        <v>100</v>
      </c>
      <c r="C26" s="88"/>
      <c r="D26" s="88"/>
      <c r="E26" s="88"/>
      <c r="F26" s="88"/>
      <c r="G26" s="88"/>
      <c r="H26" s="94"/>
      <c r="I26" s="87">
        <v>3</v>
      </c>
      <c r="O26" t="s">
        <v>1833</v>
      </c>
    </row>
    <row r="27" spans="1:15" x14ac:dyDescent="0.55000000000000004">
      <c r="A27" s="88" t="s">
        <v>1788</v>
      </c>
      <c r="B27" s="88">
        <v>2</v>
      </c>
      <c r="C27" s="88"/>
      <c r="D27" s="88"/>
      <c r="E27" s="88"/>
      <c r="F27" s="88"/>
      <c r="G27" s="88"/>
      <c r="H27" s="94"/>
      <c r="I27" s="87">
        <v>4</v>
      </c>
      <c r="O27" t="s">
        <v>1834</v>
      </c>
    </row>
    <row r="28" spans="1:15" x14ac:dyDescent="0.55000000000000004">
      <c r="A28" s="88" t="s">
        <v>1789</v>
      </c>
      <c r="B28" s="88">
        <v>2600</v>
      </c>
      <c r="C28" s="88"/>
      <c r="D28" s="88"/>
      <c r="E28" s="88"/>
      <c r="F28" s="88"/>
      <c r="G28" s="88"/>
      <c r="H28" s="94"/>
      <c r="I28" s="87">
        <v>5</v>
      </c>
      <c r="O28" t="s">
        <v>1831</v>
      </c>
    </row>
    <row r="29" spans="1:15" x14ac:dyDescent="0.55000000000000004">
      <c r="A29" s="88" t="s">
        <v>1790</v>
      </c>
      <c r="B29" s="88">
        <v>5</v>
      </c>
      <c r="C29" s="88"/>
      <c r="D29" s="88"/>
      <c r="E29" s="88"/>
      <c r="F29" s="88"/>
      <c r="G29" s="88"/>
      <c r="H29" s="94"/>
      <c r="I29" s="87">
        <v>6</v>
      </c>
      <c r="O29" t="s">
        <v>1832</v>
      </c>
    </row>
    <row r="30" spans="1:15" x14ac:dyDescent="0.55000000000000004">
      <c r="A30" s="88" t="s">
        <v>1791</v>
      </c>
      <c r="B30" s="89" t="s">
        <v>1776</v>
      </c>
      <c r="C30" s="88"/>
      <c r="D30" s="88"/>
      <c r="E30" s="88"/>
      <c r="F30" s="88"/>
      <c r="G30" s="88"/>
      <c r="H30" s="94"/>
      <c r="I30" s="87">
        <v>7</v>
      </c>
      <c r="O30" t="s">
        <v>1835</v>
      </c>
    </row>
    <row r="31" spans="1:15" x14ac:dyDescent="0.55000000000000004">
      <c r="A31" s="41" t="s">
        <v>1692</v>
      </c>
      <c r="B31" s="5" t="s">
        <v>1688</v>
      </c>
      <c r="C31" s="41"/>
      <c r="D31" s="41"/>
      <c r="E31" s="41"/>
      <c r="F31" s="41"/>
      <c r="G31" s="41"/>
      <c r="H31" s="31"/>
      <c r="J31" t="s">
        <v>1845</v>
      </c>
    </row>
    <row r="32" spans="1:15" x14ac:dyDescent="0.55000000000000004">
      <c r="A32" s="40" t="s">
        <v>1792</v>
      </c>
      <c r="B32" s="84" t="s">
        <v>1793</v>
      </c>
      <c r="C32" s="40"/>
      <c r="D32" s="40"/>
      <c r="E32" s="40"/>
      <c r="F32" s="40"/>
      <c r="G32" s="40"/>
      <c r="H32" s="39"/>
      <c r="I32" s="86">
        <v>1</v>
      </c>
      <c r="O32" t="s">
        <v>1850</v>
      </c>
    </row>
    <row r="33" spans="1:15" x14ac:dyDescent="0.55000000000000004">
      <c r="A33" s="40" t="s">
        <v>1794</v>
      </c>
      <c r="B33" s="84">
        <v>1.4E-3</v>
      </c>
      <c r="C33" s="40"/>
      <c r="D33" s="40"/>
      <c r="E33" s="40"/>
      <c r="F33" s="40"/>
      <c r="G33" s="40"/>
      <c r="H33" s="95"/>
      <c r="I33" s="87">
        <v>2</v>
      </c>
      <c r="O33" t="s">
        <v>1851</v>
      </c>
    </row>
    <row r="34" spans="1:15" x14ac:dyDescent="0.55000000000000004">
      <c r="A34" s="40" t="s">
        <v>1795</v>
      </c>
      <c r="B34" s="84" t="s">
        <v>1796</v>
      </c>
      <c r="C34" s="40"/>
      <c r="D34" s="40"/>
      <c r="E34" s="40"/>
      <c r="F34" s="40"/>
      <c r="G34" s="40"/>
      <c r="H34" s="95"/>
      <c r="I34" s="87">
        <v>3</v>
      </c>
      <c r="O34" t="s">
        <v>1852</v>
      </c>
    </row>
    <row r="35" spans="1:15" x14ac:dyDescent="0.55000000000000004">
      <c r="A35" s="40" t="s">
        <v>1797</v>
      </c>
      <c r="B35" s="40">
        <v>300</v>
      </c>
      <c r="C35" s="40"/>
      <c r="D35" s="40"/>
      <c r="E35" s="40"/>
      <c r="F35" s="40"/>
      <c r="G35" s="40"/>
      <c r="H35" s="39"/>
      <c r="I35" s="86">
        <v>4</v>
      </c>
      <c r="O35" t="s">
        <v>1853</v>
      </c>
    </row>
    <row r="36" spans="1:15" x14ac:dyDescent="0.55000000000000004">
      <c r="A36" s="40" t="s">
        <v>1798</v>
      </c>
      <c r="B36" s="40">
        <v>0</v>
      </c>
      <c r="C36" s="40"/>
      <c r="D36" s="40"/>
      <c r="E36" s="40"/>
      <c r="F36" s="40"/>
      <c r="G36" s="40"/>
      <c r="H36" s="39"/>
      <c r="I36" s="86">
        <v>5</v>
      </c>
      <c r="O36" t="s">
        <v>1854</v>
      </c>
    </row>
    <row r="37" spans="1:15" x14ac:dyDescent="0.55000000000000004">
      <c r="A37" s="40" t="s">
        <v>1799</v>
      </c>
      <c r="B37" s="84">
        <v>0.2</v>
      </c>
      <c r="C37" s="40"/>
      <c r="D37" s="40"/>
      <c r="E37" s="40"/>
      <c r="F37" s="40"/>
      <c r="G37" s="40"/>
      <c r="H37" s="39"/>
      <c r="I37" s="86">
        <v>6</v>
      </c>
      <c r="O37" t="s">
        <v>1855</v>
      </c>
    </row>
    <row r="38" spans="1:15" x14ac:dyDescent="0.55000000000000004">
      <c r="A38" s="40" t="s">
        <v>1800</v>
      </c>
      <c r="B38" s="84" t="s">
        <v>1801</v>
      </c>
      <c r="C38" s="40"/>
      <c r="D38" s="40"/>
      <c r="E38" s="40"/>
      <c r="F38" s="40"/>
      <c r="G38" s="40"/>
      <c r="H38" s="39"/>
      <c r="I38" s="86">
        <v>7</v>
      </c>
      <c r="O38" t="s">
        <v>1856</v>
      </c>
    </row>
    <row r="39" spans="1:15" x14ac:dyDescent="0.55000000000000004">
      <c r="A39" s="40" t="s">
        <v>1802</v>
      </c>
      <c r="B39" s="84">
        <v>80</v>
      </c>
      <c r="C39" s="40"/>
      <c r="D39" s="40"/>
      <c r="E39" s="40"/>
      <c r="F39" s="40"/>
      <c r="G39" s="40"/>
      <c r="H39" s="95"/>
      <c r="I39" s="87">
        <v>8</v>
      </c>
      <c r="O39" t="s">
        <v>1857</v>
      </c>
    </row>
    <row r="40" spans="1:15" x14ac:dyDescent="0.55000000000000004">
      <c r="A40" s="40" t="s">
        <v>1803</v>
      </c>
      <c r="B40" s="84" t="s">
        <v>1801</v>
      </c>
      <c r="C40" s="40"/>
      <c r="D40" s="40"/>
      <c r="E40" s="40"/>
      <c r="F40" s="40"/>
      <c r="G40" s="40"/>
      <c r="H40" s="95"/>
      <c r="I40" s="87">
        <v>9</v>
      </c>
      <c r="O40" t="s">
        <v>1858</v>
      </c>
    </row>
    <row r="41" spans="1:15" x14ac:dyDescent="0.55000000000000004">
      <c r="A41" s="40" t="s">
        <v>1804</v>
      </c>
      <c r="B41" s="84">
        <v>1E-3</v>
      </c>
      <c r="C41" s="40"/>
      <c r="D41" s="40"/>
      <c r="E41" s="40"/>
      <c r="F41" s="40"/>
      <c r="G41" s="40"/>
      <c r="H41" s="39"/>
      <c r="I41" s="86">
        <v>10</v>
      </c>
      <c r="O41" t="s">
        <v>1859</v>
      </c>
    </row>
    <row r="42" spans="1:15" x14ac:dyDescent="0.55000000000000004">
      <c r="A42" s="40" t="s">
        <v>1805</v>
      </c>
      <c r="B42" s="84">
        <v>0.1</v>
      </c>
      <c r="C42" s="40"/>
      <c r="D42" s="40"/>
      <c r="E42" s="40"/>
      <c r="F42" s="40"/>
      <c r="G42" s="40"/>
      <c r="H42" s="39"/>
      <c r="I42" s="86">
        <v>11</v>
      </c>
      <c r="O42" t="s">
        <v>1860</v>
      </c>
    </row>
    <row r="43" spans="1:15" x14ac:dyDescent="0.55000000000000004">
      <c r="A43" s="40" t="s">
        <v>1806</v>
      </c>
      <c r="B43" s="84">
        <v>2000</v>
      </c>
      <c r="C43" s="40"/>
      <c r="D43" s="40"/>
      <c r="E43" s="40"/>
      <c r="F43" s="40"/>
      <c r="G43" s="40"/>
      <c r="H43" s="39"/>
      <c r="I43" s="86">
        <v>12</v>
      </c>
      <c r="O43" t="s">
        <v>1861</v>
      </c>
    </row>
    <row r="44" spans="1:15" x14ac:dyDescent="0.55000000000000004">
      <c r="A44" s="40" t="s">
        <v>1807</v>
      </c>
      <c r="B44" s="84">
        <v>1E-3</v>
      </c>
      <c r="C44" s="40"/>
      <c r="D44" s="40"/>
      <c r="E44" s="40"/>
      <c r="F44" s="40"/>
      <c r="G44" s="40"/>
      <c r="H44" s="39"/>
      <c r="I44" s="86">
        <v>13</v>
      </c>
      <c r="O44" t="s">
        <v>1862</v>
      </c>
    </row>
    <row r="45" spans="1:15" x14ac:dyDescent="0.55000000000000004">
      <c r="A45" s="40" t="s">
        <v>1808</v>
      </c>
      <c r="B45" s="84" t="s">
        <v>1809</v>
      </c>
      <c r="C45" s="40"/>
      <c r="D45" s="40"/>
      <c r="E45" s="40"/>
      <c r="F45" s="40"/>
      <c r="G45" s="40"/>
      <c r="H45" s="39"/>
      <c r="I45" s="86">
        <v>14</v>
      </c>
      <c r="O45" t="s">
        <v>1863</v>
      </c>
    </row>
    <row r="46" spans="1:15" x14ac:dyDescent="0.55000000000000004">
      <c r="A46" s="40" t="s">
        <v>1810</v>
      </c>
      <c r="B46" s="84" t="s">
        <v>1776</v>
      </c>
      <c r="C46" s="40"/>
      <c r="D46" s="40"/>
      <c r="E46" s="40"/>
      <c r="F46" s="40"/>
      <c r="G46" s="40"/>
      <c r="H46" s="39"/>
      <c r="I46" s="86">
        <v>15</v>
      </c>
      <c r="O46" t="s">
        <v>1864</v>
      </c>
    </row>
    <row r="47" spans="1:15" x14ac:dyDescent="0.55000000000000004">
      <c r="A47" s="40" t="s">
        <v>1811</v>
      </c>
      <c r="B47" s="84">
        <v>1E-3</v>
      </c>
      <c r="C47" s="40"/>
      <c r="D47" s="40"/>
      <c r="E47" s="40"/>
      <c r="F47" s="40"/>
      <c r="G47" s="40"/>
      <c r="H47" s="39"/>
      <c r="I47" s="86">
        <v>16</v>
      </c>
      <c r="O47" t="s">
        <v>1865</v>
      </c>
    </row>
    <row r="48" spans="1:15" x14ac:dyDescent="0.55000000000000004">
      <c r="A48" s="41" t="s">
        <v>1693</v>
      </c>
      <c r="B48" s="5" t="s">
        <v>1688</v>
      </c>
      <c r="C48" s="41"/>
      <c r="D48" s="41"/>
      <c r="E48" s="41"/>
      <c r="F48" s="41"/>
      <c r="G48" s="41"/>
      <c r="H48" s="31"/>
      <c r="J48" t="s">
        <v>1970</v>
      </c>
    </row>
    <row r="49" spans="1:15" x14ac:dyDescent="0.55000000000000004">
      <c r="A49" s="9" t="s">
        <v>1812</v>
      </c>
      <c r="B49" s="9">
        <v>1E-3</v>
      </c>
      <c r="C49" s="41"/>
      <c r="D49" s="41"/>
      <c r="E49" s="41"/>
      <c r="F49" s="41"/>
      <c r="G49" s="41"/>
      <c r="H49" s="31"/>
      <c r="I49" s="86">
        <v>1</v>
      </c>
      <c r="O49" t="s">
        <v>1876</v>
      </c>
    </row>
    <row r="50" spans="1:15" x14ac:dyDescent="0.55000000000000004">
      <c r="A50" s="9" t="s">
        <v>1813</v>
      </c>
      <c r="B50" s="9">
        <v>10</v>
      </c>
      <c r="C50" s="41"/>
      <c r="D50" s="41"/>
      <c r="E50" s="41"/>
      <c r="F50" s="41"/>
      <c r="G50" s="41"/>
      <c r="H50" s="31"/>
      <c r="I50" s="86">
        <v>2</v>
      </c>
      <c r="O50" t="s">
        <v>1877</v>
      </c>
    </row>
    <row r="51" spans="1:15" ht="28.8" x14ac:dyDescent="0.55000000000000004">
      <c r="A51" s="85" t="s">
        <v>1814</v>
      </c>
      <c r="B51" s="81" t="s">
        <v>1776</v>
      </c>
      <c r="C51" s="41"/>
      <c r="D51" s="41"/>
      <c r="E51" s="41"/>
      <c r="F51" s="41"/>
      <c r="G51" s="41"/>
      <c r="H51" s="31"/>
      <c r="I51" s="86">
        <v>3</v>
      </c>
      <c r="O51" t="s">
        <v>1878</v>
      </c>
    </row>
    <row r="52" spans="1:15" x14ac:dyDescent="0.55000000000000004">
      <c r="A52" s="9" t="s">
        <v>1815</v>
      </c>
      <c r="B52" s="9">
        <v>1.5</v>
      </c>
      <c r="C52" s="41"/>
      <c r="D52" s="41"/>
      <c r="E52" s="41"/>
      <c r="F52" s="41"/>
      <c r="G52" s="41"/>
      <c r="H52" s="31"/>
      <c r="I52" s="86">
        <v>4</v>
      </c>
      <c r="O52" t="s">
        <v>1879</v>
      </c>
    </row>
    <row r="53" spans="1:15" x14ac:dyDescent="0.55000000000000004">
      <c r="A53" s="9" t="s">
        <v>1816</v>
      </c>
      <c r="B53" s="9">
        <v>1E-4</v>
      </c>
      <c r="C53" s="41"/>
      <c r="D53" s="41"/>
      <c r="E53" s="41"/>
      <c r="F53" s="41"/>
      <c r="G53" s="41"/>
      <c r="H53" s="31"/>
      <c r="I53" s="86">
        <v>5</v>
      </c>
      <c r="O53" t="s">
        <v>1880</v>
      </c>
    </row>
    <row r="54" spans="1:15" x14ac:dyDescent="0.55000000000000004">
      <c r="A54" s="41" t="s">
        <v>1694</v>
      </c>
      <c r="B54" s="5" t="s">
        <v>1688</v>
      </c>
      <c r="C54" s="41"/>
      <c r="D54" s="41"/>
      <c r="E54" s="41"/>
      <c r="F54" s="41"/>
      <c r="G54" s="41"/>
      <c r="H54" s="31"/>
      <c r="O54" t="s">
        <v>1873</v>
      </c>
    </row>
    <row r="55" spans="1:15" x14ac:dyDescent="0.55000000000000004">
      <c r="A55" s="41" t="s">
        <v>1695</v>
      </c>
      <c r="B55" s="5" t="s">
        <v>1688</v>
      </c>
      <c r="C55" s="41"/>
      <c r="D55" s="41"/>
      <c r="E55" s="41"/>
      <c r="F55" s="41"/>
      <c r="O55" t="s">
        <v>1874</v>
      </c>
    </row>
    <row r="56" spans="1:15" x14ac:dyDescent="0.55000000000000004">
      <c r="A56" s="41" t="s">
        <v>1696</v>
      </c>
      <c r="B56" s="5" t="s">
        <v>1688</v>
      </c>
      <c r="C56" s="41"/>
      <c r="D56" s="41"/>
      <c r="E56" s="41"/>
      <c r="F56" s="41"/>
      <c r="O56" t="s">
        <v>1875</v>
      </c>
    </row>
    <row r="57" spans="1:15" x14ac:dyDescent="0.55000000000000004">
      <c r="A57" s="59" t="s">
        <v>1697</v>
      </c>
      <c r="B57" s="5">
        <v>2</v>
      </c>
      <c r="C57" s="41"/>
      <c r="D57" s="41"/>
      <c r="E57" s="41"/>
      <c r="F57" s="41"/>
      <c r="G57" s="5"/>
      <c r="H57" s="1"/>
    </row>
    <row r="58" spans="1:15" x14ac:dyDescent="0.55000000000000004">
      <c r="A58" s="16"/>
      <c r="B58" s="16" t="s">
        <v>1866</v>
      </c>
      <c r="C58" s="16" t="s">
        <v>1867</v>
      </c>
      <c r="D58" s="16" t="s">
        <v>1868</v>
      </c>
      <c r="E58" s="16" t="s">
        <v>1869</v>
      </c>
      <c r="F58" s="16" t="s">
        <v>1870</v>
      </c>
      <c r="G58" s="16"/>
      <c r="H58" s="29"/>
      <c r="I58" s="18"/>
      <c r="J58" s="18" t="s">
        <v>1971</v>
      </c>
    </row>
    <row r="59" spans="1:15" x14ac:dyDescent="0.55000000000000004">
      <c r="A59" s="13" t="s">
        <v>1698</v>
      </c>
      <c r="B59" s="5">
        <v>2</v>
      </c>
      <c r="C59" s="5">
        <v>14</v>
      </c>
      <c r="D59" s="5"/>
      <c r="E59" s="5"/>
      <c r="F59" s="5"/>
      <c r="G59" s="5"/>
      <c r="H59" s="1"/>
      <c r="I59" s="86">
        <v>1</v>
      </c>
      <c r="O59" t="s">
        <v>1885</v>
      </c>
    </row>
    <row r="60" spans="1:15" x14ac:dyDescent="0.55000000000000004">
      <c r="A60" s="13" t="s">
        <v>1699</v>
      </c>
      <c r="B60" s="5">
        <v>13</v>
      </c>
      <c r="C60" s="5">
        <v>31</v>
      </c>
      <c r="D60" s="5"/>
      <c r="E60" s="5"/>
      <c r="F60" s="5"/>
      <c r="G60" s="5"/>
      <c r="H60" s="1"/>
      <c r="I60" s="86">
        <v>2</v>
      </c>
      <c r="O60" t="s">
        <v>1886</v>
      </c>
    </row>
    <row r="61" spans="1:15" x14ac:dyDescent="0.55000000000000004">
      <c r="A61" s="41" t="s">
        <v>1700</v>
      </c>
      <c r="B61" s="5">
        <v>10</v>
      </c>
      <c r="C61" s="5">
        <v>10</v>
      </c>
      <c r="D61" s="5"/>
      <c r="E61" s="5"/>
      <c r="F61" s="5"/>
      <c r="G61" s="5"/>
      <c r="H61" s="1"/>
      <c r="I61" s="86">
        <v>3</v>
      </c>
      <c r="O61" t="s">
        <v>1887</v>
      </c>
    </row>
    <row r="62" spans="1:15" x14ac:dyDescent="0.55000000000000004">
      <c r="A62" s="41" t="s">
        <v>1974</v>
      </c>
      <c r="B62" s="5">
        <v>7</v>
      </c>
      <c r="C62" s="5">
        <v>7</v>
      </c>
      <c r="D62" s="5"/>
      <c r="E62" s="5"/>
      <c r="F62" s="5"/>
      <c r="G62" s="5"/>
      <c r="H62" s="1"/>
      <c r="I62" s="86">
        <v>4</v>
      </c>
      <c r="O62" t="s">
        <v>1888</v>
      </c>
    </row>
    <row r="63" spans="1:15" x14ac:dyDescent="0.55000000000000004">
      <c r="A63" s="41" t="s">
        <v>1701</v>
      </c>
      <c r="B63" s="5">
        <v>2275.9459999999999</v>
      </c>
      <c r="C63" s="5">
        <v>2275.9459999999999</v>
      </c>
      <c r="D63" s="5"/>
      <c r="E63" s="5"/>
      <c r="F63" s="5"/>
      <c r="G63" s="5"/>
      <c r="H63" s="1"/>
      <c r="I63" s="86">
        <v>5</v>
      </c>
      <c r="O63" t="s">
        <v>1889</v>
      </c>
    </row>
    <row r="64" spans="1:15" x14ac:dyDescent="0.55000000000000004">
      <c r="A64" s="41" t="s">
        <v>1702</v>
      </c>
      <c r="B64" s="5">
        <v>326.00299999999999</v>
      </c>
      <c r="C64" s="5">
        <v>326.00299999999999</v>
      </c>
      <c r="D64" s="5"/>
      <c r="E64" s="5"/>
      <c r="F64" s="5"/>
      <c r="G64" s="5"/>
      <c r="H64" s="1"/>
      <c r="I64" s="86">
        <v>6</v>
      </c>
      <c r="O64" t="s">
        <v>1890</v>
      </c>
    </row>
    <row r="65" spans="1:15" x14ac:dyDescent="0.55000000000000004">
      <c r="A65" s="41" t="s">
        <v>1703</v>
      </c>
      <c r="B65" s="5">
        <v>25.265999999999998</v>
      </c>
      <c r="C65" s="5">
        <v>25.265999999999998</v>
      </c>
      <c r="D65" s="5"/>
      <c r="E65" s="5"/>
      <c r="F65" s="5"/>
      <c r="G65" s="5"/>
      <c r="H65" s="1"/>
      <c r="I65" s="86">
        <v>7</v>
      </c>
      <c r="O65" t="s">
        <v>1891</v>
      </c>
    </row>
    <row r="66" spans="1:15" x14ac:dyDescent="0.55000000000000004">
      <c r="A66" s="41" t="s">
        <v>1704</v>
      </c>
      <c r="B66" s="5">
        <v>0</v>
      </c>
      <c r="C66" s="5">
        <v>0</v>
      </c>
      <c r="D66" s="5"/>
      <c r="E66" s="5"/>
      <c r="F66" s="5"/>
      <c r="G66" s="5"/>
      <c r="H66" s="1"/>
      <c r="I66" s="86">
        <v>8</v>
      </c>
      <c r="O66" t="s">
        <v>1892</v>
      </c>
    </row>
    <row r="67" spans="1:15" x14ac:dyDescent="0.55000000000000004">
      <c r="A67" s="41" t="s">
        <v>1705</v>
      </c>
      <c r="B67" s="5">
        <v>0.05</v>
      </c>
      <c r="C67" s="5">
        <v>0.05</v>
      </c>
      <c r="D67" s="5"/>
      <c r="E67" s="5"/>
      <c r="F67" s="5"/>
      <c r="G67" s="5"/>
      <c r="H67" s="1"/>
      <c r="I67" s="86">
        <v>9</v>
      </c>
      <c r="O67" t="s">
        <v>1893</v>
      </c>
    </row>
    <row r="68" spans="1:15" x14ac:dyDescent="0.55000000000000004">
      <c r="A68" s="41" t="s">
        <v>1706</v>
      </c>
      <c r="B68" s="5">
        <v>0</v>
      </c>
      <c r="C68" s="5">
        <v>0</v>
      </c>
      <c r="D68" s="5"/>
      <c r="E68" s="5"/>
      <c r="F68" s="5"/>
      <c r="G68" s="5"/>
      <c r="H68" s="1"/>
      <c r="I68" s="86">
        <v>10</v>
      </c>
      <c r="O68" t="s">
        <v>1894</v>
      </c>
    </row>
    <row r="69" spans="1:15" x14ac:dyDescent="0.55000000000000004">
      <c r="A69" s="41" t="s">
        <v>1707</v>
      </c>
      <c r="B69" s="5">
        <v>9.5050000000000008</v>
      </c>
      <c r="C69" s="5">
        <v>9.5050000000000008</v>
      </c>
      <c r="D69" s="5"/>
      <c r="E69" s="5"/>
      <c r="F69" s="5"/>
      <c r="G69" s="5"/>
      <c r="H69" s="1"/>
      <c r="I69" s="86">
        <v>11</v>
      </c>
      <c r="O69" t="s">
        <v>1895</v>
      </c>
    </row>
    <row r="70" spans="1:15" x14ac:dyDescent="0.55000000000000004">
      <c r="A70" s="41" t="s">
        <v>1708</v>
      </c>
      <c r="B70" s="5">
        <v>0</v>
      </c>
      <c r="C70" s="5">
        <v>0</v>
      </c>
      <c r="D70" s="5"/>
      <c r="E70" s="5"/>
      <c r="F70" s="5"/>
      <c r="G70" s="5"/>
      <c r="H70" s="1"/>
      <c r="I70" s="86">
        <v>12</v>
      </c>
      <c r="O70" t="s">
        <v>1896</v>
      </c>
    </row>
    <row r="71" spans="1:15" x14ac:dyDescent="0.55000000000000004">
      <c r="A71" s="41" t="s">
        <v>1709</v>
      </c>
      <c r="B71" s="5">
        <v>9.1999999999999998E-2</v>
      </c>
      <c r="C71" s="5">
        <v>9.1999999999999998E-2</v>
      </c>
      <c r="D71" s="5"/>
      <c r="E71" s="5"/>
      <c r="F71" s="5"/>
      <c r="G71" s="5"/>
      <c r="H71" s="1"/>
      <c r="I71" s="86">
        <v>13</v>
      </c>
      <c r="O71" t="s">
        <v>1897</v>
      </c>
    </row>
    <row r="72" spans="1:15" x14ac:dyDescent="0.55000000000000004">
      <c r="A72" s="41" t="s">
        <v>1710</v>
      </c>
      <c r="B72" s="5">
        <v>4.0110000000000001</v>
      </c>
      <c r="C72" s="5">
        <v>4.0110000000000001</v>
      </c>
      <c r="D72" s="5"/>
      <c r="E72" s="5"/>
      <c r="F72" s="5"/>
      <c r="G72" s="5"/>
      <c r="H72" s="1"/>
      <c r="I72" s="86">
        <v>14</v>
      </c>
      <c r="O72" t="s">
        <v>1898</v>
      </c>
    </row>
    <row r="73" spans="1:15" x14ac:dyDescent="0.55000000000000004">
      <c r="A73" s="41" t="s">
        <v>1904</v>
      </c>
      <c r="B73" s="5">
        <v>50</v>
      </c>
      <c r="C73" s="5">
        <v>50</v>
      </c>
      <c r="D73" s="5"/>
      <c r="E73" s="5"/>
      <c r="F73" s="5"/>
      <c r="G73" s="5"/>
      <c r="H73" s="1"/>
      <c r="I73" s="86">
        <v>15</v>
      </c>
      <c r="O73" t="s">
        <v>1899</v>
      </c>
    </row>
    <row r="74" spans="1:15" x14ac:dyDescent="0.55000000000000004">
      <c r="A74" s="41" t="s">
        <v>1905</v>
      </c>
      <c r="B74" s="5"/>
      <c r="C74" s="5"/>
      <c r="D74" s="5"/>
      <c r="E74" s="5"/>
      <c r="F74" s="5"/>
      <c r="G74" s="5"/>
      <c r="H74" s="1"/>
      <c r="I74" s="86">
        <v>16</v>
      </c>
      <c r="O74" t="s">
        <v>1900</v>
      </c>
    </row>
    <row r="75" spans="1:15" x14ac:dyDescent="0.55000000000000004">
      <c r="A75" s="41" t="s">
        <v>1882</v>
      </c>
      <c r="B75" s="5"/>
      <c r="C75" s="5"/>
      <c r="D75" s="5"/>
      <c r="E75" s="5"/>
      <c r="F75" s="5"/>
      <c r="G75" s="5"/>
      <c r="H75" s="1"/>
      <c r="I75" s="86">
        <v>17</v>
      </c>
      <c r="O75" t="s">
        <v>1901</v>
      </c>
    </row>
    <row r="76" spans="1:15" x14ac:dyDescent="0.55000000000000004">
      <c r="A76" s="41" t="s">
        <v>1883</v>
      </c>
      <c r="B76" s="5"/>
      <c r="C76" s="5"/>
      <c r="D76" s="5"/>
      <c r="E76" s="5"/>
      <c r="F76" s="5"/>
      <c r="G76" s="5"/>
      <c r="H76" s="1"/>
      <c r="I76" s="86">
        <v>18</v>
      </c>
      <c r="O76" t="s">
        <v>1902</v>
      </c>
    </row>
    <row r="77" spans="1:15" x14ac:dyDescent="0.55000000000000004">
      <c r="A77" s="41" t="s">
        <v>1884</v>
      </c>
      <c r="B77" s="5"/>
      <c r="C77" s="5"/>
      <c r="D77" s="5"/>
      <c r="E77" s="5"/>
      <c r="F77" s="5"/>
      <c r="G77" s="5"/>
      <c r="H77" s="1"/>
      <c r="I77" s="86">
        <v>19</v>
      </c>
      <c r="O77" t="s">
        <v>1903</v>
      </c>
    </row>
    <row r="78" spans="1:15" x14ac:dyDescent="0.55000000000000004">
      <c r="A78" s="59" t="s">
        <v>1711</v>
      </c>
      <c r="B78" s="5">
        <v>2</v>
      </c>
      <c r="C78" s="5"/>
      <c r="D78" s="5"/>
      <c r="E78" s="5"/>
      <c r="F78" s="5"/>
      <c r="G78" s="5"/>
      <c r="H78" s="1"/>
      <c r="I78" t="s">
        <v>1881</v>
      </c>
    </row>
    <row r="79" spans="1:15" x14ac:dyDescent="0.55000000000000004">
      <c r="A79" s="16"/>
      <c r="B79" s="16" t="s">
        <v>1866</v>
      </c>
      <c r="C79" s="16" t="s">
        <v>1867</v>
      </c>
      <c r="D79" s="16" t="s">
        <v>1868</v>
      </c>
      <c r="E79" s="16" t="s">
        <v>1869</v>
      </c>
      <c r="F79" s="16" t="s">
        <v>1870</v>
      </c>
      <c r="G79" s="16"/>
      <c r="H79" s="29"/>
      <c r="I79" s="18"/>
      <c r="J79" s="18" t="s">
        <v>1972</v>
      </c>
    </row>
    <row r="80" spans="1:15" x14ac:dyDescent="0.55000000000000004">
      <c r="A80" s="13" t="s">
        <v>1698</v>
      </c>
      <c r="B80" s="5">
        <v>2</v>
      </c>
      <c r="C80" s="5">
        <v>14</v>
      </c>
      <c r="D80" s="5"/>
      <c r="E80" s="5"/>
      <c r="F80" s="5"/>
      <c r="G80" s="5"/>
      <c r="H80" s="1"/>
      <c r="I80" s="86">
        <v>1</v>
      </c>
      <c r="O80" t="s">
        <v>1906</v>
      </c>
    </row>
    <row r="81" spans="1:15" x14ac:dyDescent="0.55000000000000004">
      <c r="A81" s="13" t="s">
        <v>1699</v>
      </c>
      <c r="B81" s="5">
        <v>13</v>
      </c>
      <c r="C81" s="5">
        <v>31</v>
      </c>
      <c r="D81" s="5"/>
      <c r="E81" s="5"/>
      <c r="F81" s="5"/>
      <c r="G81" s="5"/>
      <c r="H81" s="1"/>
      <c r="I81" s="86">
        <v>2</v>
      </c>
      <c r="O81" t="s">
        <v>1907</v>
      </c>
    </row>
    <row r="82" spans="1:15" x14ac:dyDescent="0.55000000000000004">
      <c r="A82" s="41" t="s">
        <v>1712</v>
      </c>
      <c r="B82" s="5">
        <v>0.1</v>
      </c>
      <c r="C82" s="5">
        <v>0.1</v>
      </c>
      <c r="D82" s="5"/>
      <c r="E82" s="5"/>
      <c r="F82" s="5"/>
      <c r="G82" s="5"/>
      <c r="H82" s="1"/>
      <c r="I82" s="86">
        <v>3</v>
      </c>
      <c r="O82" t="s">
        <v>1908</v>
      </c>
    </row>
    <row r="83" spans="1:15" x14ac:dyDescent="0.55000000000000004">
      <c r="A83" s="41" t="s">
        <v>1713</v>
      </c>
      <c r="B83" s="5">
        <v>0.89</v>
      </c>
      <c r="C83" s="5">
        <v>0.89</v>
      </c>
      <c r="D83" s="5"/>
      <c r="E83" s="5"/>
      <c r="F83" s="5"/>
      <c r="G83" s="5"/>
      <c r="H83" s="1"/>
      <c r="I83" s="86">
        <v>4</v>
      </c>
      <c r="O83" t="s">
        <v>1909</v>
      </c>
    </row>
    <row r="84" spans="1:15" x14ac:dyDescent="0.55000000000000004">
      <c r="A84" s="41" t="s">
        <v>1714</v>
      </c>
      <c r="B84" s="5">
        <v>0.1</v>
      </c>
      <c r="C84" s="5">
        <v>0.1</v>
      </c>
      <c r="D84" s="5"/>
      <c r="E84" s="5"/>
      <c r="F84" s="5"/>
      <c r="G84" s="5"/>
      <c r="H84" s="1"/>
      <c r="I84" s="86">
        <v>5</v>
      </c>
      <c r="O84" t="s">
        <v>1910</v>
      </c>
    </row>
    <row r="85" spans="1:15" x14ac:dyDescent="0.55000000000000004">
      <c r="A85" s="41" t="s">
        <v>1715</v>
      </c>
      <c r="B85" s="5">
        <v>0.89</v>
      </c>
      <c r="C85" s="5">
        <v>0.89</v>
      </c>
      <c r="D85" s="5"/>
      <c r="E85" s="5"/>
      <c r="F85" s="5"/>
      <c r="G85" s="5"/>
      <c r="H85" s="1"/>
      <c r="I85" s="86">
        <v>6</v>
      </c>
      <c r="O85" t="s">
        <v>1911</v>
      </c>
    </row>
    <row r="86" spans="1:15" x14ac:dyDescent="0.55000000000000004">
      <c r="A86" s="41" t="s">
        <v>1716</v>
      </c>
      <c r="B86" s="5">
        <v>0.1</v>
      </c>
      <c r="C86" s="5">
        <v>0.1</v>
      </c>
      <c r="D86" s="5"/>
      <c r="E86" s="5"/>
      <c r="F86" s="5"/>
      <c r="G86" s="5"/>
      <c r="H86" s="1"/>
      <c r="I86" s="86">
        <v>7</v>
      </c>
      <c r="O86" t="s">
        <v>1912</v>
      </c>
    </row>
    <row r="87" spans="1:15" x14ac:dyDescent="0.55000000000000004">
      <c r="A87" s="41" t="s">
        <v>1717</v>
      </c>
      <c r="B87" s="5">
        <v>0.89</v>
      </c>
      <c r="C87" s="5">
        <v>0.89</v>
      </c>
      <c r="D87" s="5"/>
      <c r="E87" s="5"/>
      <c r="F87" s="5"/>
      <c r="G87" s="5"/>
      <c r="H87" s="1"/>
      <c r="I87" s="86">
        <v>8</v>
      </c>
      <c r="O87" t="s">
        <v>1913</v>
      </c>
    </row>
    <row r="88" spans="1:15" x14ac:dyDescent="0.55000000000000004">
      <c r="A88" s="41" t="s">
        <v>1718</v>
      </c>
      <c r="B88" s="5">
        <v>2.5000000000000001E-3</v>
      </c>
      <c r="C88" s="5">
        <v>2.5000000000000001E-3</v>
      </c>
      <c r="D88" s="5"/>
      <c r="E88" s="5"/>
      <c r="F88" s="5"/>
      <c r="G88" s="5"/>
      <c r="H88" s="1"/>
      <c r="I88" s="86">
        <v>9</v>
      </c>
      <c r="O88" t="s">
        <v>1914</v>
      </c>
    </row>
    <row r="89" spans="1:15" x14ac:dyDescent="0.55000000000000004">
      <c r="A89" s="41" t="s">
        <v>1719</v>
      </c>
      <c r="B89" s="5">
        <v>6.0000000000000002E-5</v>
      </c>
      <c r="C89" s="5">
        <v>6.0000000000000002E-5</v>
      </c>
      <c r="D89" s="5"/>
      <c r="E89" s="5"/>
      <c r="F89" s="5"/>
      <c r="G89" s="5"/>
      <c r="H89" s="1"/>
      <c r="I89" s="86">
        <v>10</v>
      </c>
      <c r="O89" t="s">
        <v>1915</v>
      </c>
    </row>
    <row r="90" spans="1:15" x14ac:dyDescent="0.55000000000000004">
      <c r="A90" s="41" t="s">
        <v>1720</v>
      </c>
      <c r="B90" s="5">
        <v>2.73973E-4</v>
      </c>
      <c r="C90" s="5">
        <v>2.73973E-4</v>
      </c>
      <c r="D90" s="5"/>
      <c r="E90" s="5"/>
      <c r="F90" s="5"/>
      <c r="G90" s="5"/>
      <c r="H90" s="1"/>
      <c r="I90" s="86">
        <v>11</v>
      </c>
      <c r="O90" t="s">
        <v>1916</v>
      </c>
    </row>
    <row r="91" spans="1:15" x14ac:dyDescent="0.55000000000000004">
      <c r="A91" s="41" t="s">
        <v>1973</v>
      </c>
      <c r="B91" s="5">
        <v>0.01</v>
      </c>
      <c r="C91" s="5">
        <v>0.01</v>
      </c>
      <c r="D91" s="5"/>
      <c r="E91" s="5"/>
      <c r="F91" s="5"/>
      <c r="G91" s="5"/>
      <c r="H91" s="1"/>
      <c r="I91" s="86">
        <v>12</v>
      </c>
      <c r="O91" t="s">
        <v>1917</v>
      </c>
    </row>
    <row r="92" spans="1:15" x14ac:dyDescent="0.55000000000000004">
      <c r="A92" s="41" t="s">
        <v>1721</v>
      </c>
      <c r="B92" s="5">
        <v>1</v>
      </c>
      <c r="C92" s="5">
        <v>1</v>
      </c>
      <c r="D92" s="5"/>
      <c r="E92" s="5"/>
      <c r="F92" s="5"/>
      <c r="G92" s="5"/>
      <c r="H92" s="1"/>
      <c r="I92" s="86">
        <v>13</v>
      </c>
      <c r="O92" t="s">
        <v>1918</v>
      </c>
    </row>
    <row r="93" spans="1:15" x14ac:dyDescent="0.55000000000000004">
      <c r="A93" s="41" t="s">
        <v>1722</v>
      </c>
      <c r="B93" s="5">
        <v>2</v>
      </c>
      <c r="C93" s="5">
        <v>2</v>
      </c>
      <c r="D93" s="5"/>
      <c r="E93" s="5"/>
      <c r="F93" s="5"/>
      <c r="G93" s="5"/>
      <c r="H93" s="1"/>
      <c r="I93" s="86">
        <v>14</v>
      </c>
      <c r="O93" t="s">
        <v>1919</v>
      </c>
    </row>
    <row r="94" spans="1:15" x14ac:dyDescent="0.55000000000000004">
      <c r="A94" s="41" t="s">
        <v>1723</v>
      </c>
      <c r="B94" s="5">
        <v>0.3</v>
      </c>
      <c r="C94" s="5">
        <v>0.3</v>
      </c>
      <c r="D94" s="5"/>
      <c r="E94" s="5"/>
      <c r="F94" s="5"/>
      <c r="G94" s="5"/>
      <c r="H94" s="1"/>
      <c r="I94" s="86">
        <v>15</v>
      </c>
      <c r="O94" t="s">
        <v>1920</v>
      </c>
    </row>
    <row r="95" spans="1:15" x14ac:dyDescent="0.55000000000000004">
      <c r="A95" s="41" t="s">
        <v>1724</v>
      </c>
      <c r="B95" s="5">
        <v>0.3</v>
      </c>
      <c r="C95" s="5">
        <v>0.3</v>
      </c>
      <c r="D95" s="5"/>
      <c r="E95" s="5"/>
      <c r="F95" s="5"/>
      <c r="G95" s="5"/>
      <c r="H95" s="1"/>
      <c r="I95" s="86">
        <v>16</v>
      </c>
      <c r="O95" t="s">
        <v>1921</v>
      </c>
    </row>
    <row r="96" spans="1:15" x14ac:dyDescent="0.55000000000000004">
      <c r="A96" s="41" t="s">
        <v>1725</v>
      </c>
      <c r="B96" s="5">
        <v>0.1</v>
      </c>
      <c r="C96" s="5">
        <v>0.1</v>
      </c>
      <c r="D96" s="5"/>
      <c r="E96" s="5"/>
      <c r="F96" s="5"/>
      <c r="G96" s="5"/>
      <c r="H96" s="1"/>
      <c r="I96" s="86">
        <v>17</v>
      </c>
      <c r="O96" t="s">
        <v>1922</v>
      </c>
    </row>
    <row r="97" spans="1:15" x14ac:dyDescent="0.55000000000000004">
      <c r="A97" s="41" t="s">
        <v>1726</v>
      </c>
      <c r="B97" s="5">
        <v>0.1</v>
      </c>
      <c r="C97" s="5">
        <v>0.1</v>
      </c>
      <c r="D97" s="5"/>
      <c r="E97" s="5"/>
      <c r="F97" s="5"/>
      <c r="G97" s="5"/>
      <c r="H97" s="1"/>
      <c r="I97" s="86">
        <v>18</v>
      </c>
      <c r="O97" t="s">
        <v>1923</v>
      </c>
    </row>
    <row r="98" spans="1:15" x14ac:dyDescent="0.55000000000000004">
      <c r="A98" s="41" t="s">
        <v>1727</v>
      </c>
      <c r="B98" s="5">
        <v>0.1</v>
      </c>
      <c r="C98" s="5">
        <v>0.1</v>
      </c>
      <c r="D98" s="5"/>
      <c r="E98" s="5"/>
      <c r="F98" s="5"/>
      <c r="G98" s="5"/>
      <c r="H98" s="1"/>
      <c r="I98" s="86">
        <v>19</v>
      </c>
      <c r="O98" t="s">
        <v>1924</v>
      </c>
    </row>
    <row r="99" spans="1:15" x14ac:dyDescent="0.55000000000000004">
      <c r="A99" s="41" t="s">
        <v>1728</v>
      </c>
      <c r="B99" s="5">
        <v>0.7</v>
      </c>
      <c r="C99" s="5">
        <v>0.7</v>
      </c>
      <c r="D99" s="5"/>
      <c r="E99" s="5"/>
      <c r="F99" s="5"/>
      <c r="G99" s="5"/>
      <c r="H99" s="1"/>
      <c r="I99" s="86">
        <v>20</v>
      </c>
      <c r="O99" t="s">
        <v>1925</v>
      </c>
    </row>
    <row r="100" spans="1:15" x14ac:dyDescent="0.55000000000000004">
      <c r="A100" s="41" t="s">
        <v>1729</v>
      </c>
      <c r="B100" s="5">
        <v>0</v>
      </c>
      <c r="C100" s="5">
        <v>0</v>
      </c>
      <c r="D100" s="5"/>
      <c r="E100" s="5"/>
      <c r="F100" s="5"/>
      <c r="G100" s="5"/>
      <c r="H100" s="1"/>
      <c r="I100" s="86">
        <v>21</v>
      </c>
      <c r="O100" t="s">
        <v>1926</v>
      </c>
    </row>
    <row r="101" spans="1:15" x14ac:dyDescent="0.55000000000000004">
      <c r="A101" s="41" t="s">
        <v>1730</v>
      </c>
      <c r="B101" s="5">
        <v>0.72799999999999998</v>
      </c>
      <c r="C101" s="5">
        <v>0.72799999999999998</v>
      </c>
      <c r="D101" s="5"/>
      <c r="E101" s="5"/>
      <c r="F101" s="5"/>
      <c r="G101" s="5"/>
      <c r="H101" s="1"/>
      <c r="I101" s="86">
        <v>22</v>
      </c>
      <c r="O101" t="s">
        <v>1927</v>
      </c>
    </row>
    <row r="102" spans="1:15" x14ac:dyDescent="0.55000000000000004">
      <c r="A102" s="41" t="s">
        <v>1731</v>
      </c>
      <c r="B102" s="5">
        <v>0.37</v>
      </c>
      <c r="C102" s="5">
        <v>0.37</v>
      </c>
      <c r="D102" s="5"/>
      <c r="E102" s="5"/>
      <c r="F102" s="5"/>
      <c r="G102" s="5"/>
      <c r="H102" s="1"/>
      <c r="I102" s="86">
        <v>23</v>
      </c>
      <c r="O102" t="s">
        <v>1928</v>
      </c>
    </row>
    <row r="103" spans="1:15" x14ac:dyDescent="0.55000000000000004">
      <c r="A103" s="41" t="s">
        <v>1732</v>
      </c>
      <c r="B103" s="5">
        <v>1.08</v>
      </c>
      <c r="C103" s="5">
        <v>1.08</v>
      </c>
      <c r="D103" s="5"/>
      <c r="E103" s="5"/>
      <c r="F103" s="5"/>
      <c r="G103" s="5"/>
      <c r="H103" s="1"/>
      <c r="I103" s="86">
        <v>24</v>
      </c>
      <c r="O103" t="s">
        <v>1929</v>
      </c>
    </row>
    <row r="104" spans="1:15" x14ac:dyDescent="0.55000000000000004">
      <c r="A104" s="41" t="s">
        <v>1733</v>
      </c>
      <c r="B104" s="5">
        <v>1</v>
      </c>
      <c r="C104" s="5">
        <v>1</v>
      </c>
      <c r="D104" s="5"/>
      <c r="E104" s="5"/>
      <c r="F104" s="5"/>
      <c r="G104" s="5"/>
      <c r="H104" s="1"/>
      <c r="I104" s="86">
        <v>25</v>
      </c>
      <c r="O104" t="s">
        <v>1930</v>
      </c>
    </row>
    <row r="105" spans="1:15" x14ac:dyDescent="0.55000000000000004">
      <c r="A105" s="41" t="s">
        <v>1734</v>
      </c>
      <c r="B105" s="5">
        <v>1.123</v>
      </c>
      <c r="C105" s="5">
        <v>1.123</v>
      </c>
      <c r="D105" s="5"/>
      <c r="E105" s="5"/>
      <c r="F105" s="5"/>
      <c r="G105" s="5"/>
      <c r="H105" s="1"/>
      <c r="I105" s="86">
        <v>26</v>
      </c>
      <c r="O105" t="s">
        <v>1931</v>
      </c>
    </row>
    <row r="106" spans="1:15" x14ac:dyDescent="0.55000000000000004">
      <c r="A106" s="41" t="s">
        <v>1735</v>
      </c>
      <c r="B106" s="5">
        <v>1.08</v>
      </c>
      <c r="C106" s="5">
        <v>1.08</v>
      </c>
      <c r="D106" s="5"/>
      <c r="E106" s="5"/>
      <c r="F106" s="5"/>
      <c r="G106" s="5"/>
      <c r="H106" s="1"/>
      <c r="I106" s="86">
        <v>27</v>
      </c>
      <c r="O106" t="s">
        <v>1932</v>
      </c>
    </row>
    <row r="107" spans="1:15" x14ac:dyDescent="0.55000000000000004">
      <c r="A107" s="41" t="s">
        <v>1736</v>
      </c>
      <c r="B107" s="5">
        <v>1.079</v>
      </c>
      <c r="C107" s="5">
        <v>1.079</v>
      </c>
      <c r="D107" s="5"/>
      <c r="E107" s="5"/>
      <c r="F107" s="5"/>
      <c r="G107" s="5"/>
      <c r="H107" s="1"/>
      <c r="I107" s="86">
        <v>28</v>
      </c>
      <c r="O107" t="s">
        <v>1933</v>
      </c>
    </row>
    <row r="108" spans="1:15" x14ac:dyDescent="0.55000000000000004">
      <c r="A108" s="41" t="s">
        <v>1737</v>
      </c>
      <c r="B108" s="5">
        <v>20</v>
      </c>
      <c r="C108" s="5">
        <v>20</v>
      </c>
      <c r="D108" s="5"/>
      <c r="E108" s="5"/>
      <c r="F108" s="5"/>
      <c r="G108" s="5"/>
      <c r="H108" s="1"/>
      <c r="I108" s="86">
        <v>29</v>
      </c>
      <c r="O108" t="s">
        <v>1934</v>
      </c>
    </row>
    <row r="109" spans="1:15" x14ac:dyDescent="0.55000000000000004">
      <c r="A109" s="41" t="s">
        <v>1738</v>
      </c>
      <c r="B109" s="5">
        <v>0.2</v>
      </c>
      <c r="C109" s="5">
        <v>0.2</v>
      </c>
      <c r="D109" s="5"/>
      <c r="E109" s="5"/>
      <c r="F109" s="5"/>
      <c r="G109" s="5"/>
      <c r="H109" s="1"/>
      <c r="I109" s="86">
        <v>30</v>
      </c>
      <c r="O109" t="s">
        <v>1935</v>
      </c>
    </row>
    <row r="110" spans="1:15" x14ac:dyDescent="0.55000000000000004">
      <c r="A110" s="41" t="s">
        <v>1739</v>
      </c>
      <c r="B110" s="5">
        <v>1.079</v>
      </c>
      <c r="C110" s="5">
        <v>1.079</v>
      </c>
      <c r="D110" s="5"/>
      <c r="E110" s="5"/>
      <c r="F110" s="5"/>
      <c r="G110" s="5"/>
      <c r="H110" s="1"/>
      <c r="I110" s="86">
        <v>31</v>
      </c>
      <c r="O110" t="s">
        <v>1936</v>
      </c>
    </row>
    <row r="111" spans="1:15" x14ac:dyDescent="0.55000000000000004">
      <c r="A111" s="41" t="s">
        <v>1740</v>
      </c>
      <c r="B111" s="5">
        <v>4</v>
      </c>
      <c r="C111" s="5">
        <v>4</v>
      </c>
      <c r="D111" s="5"/>
      <c r="E111" s="5"/>
      <c r="F111" s="5"/>
      <c r="G111" s="5"/>
      <c r="H111" s="1"/>
      <c r="I111" s="86">
        <v>32</v>
      </c>
      <c r="O111" t="s">
        <v>1937</v>
      </c>
    </row>
    <row r="112" spans="1:15" x14ac:dyDescent="0.55000000000000004">
      <c r="A112" s="41" t="s">
        <v>1741</v>
      </c>
      <c r="B112" s="5">
        <v>3.5000000000000003E-2</v>
      </c>
      <c r="C112" s="5">
        <v>3.5000000000000003E-2</v>
      </c>
      <c r="D112" s="5"/>
      <c r="E112" s="5"/>
      <c r="F112" s="5"/>
      <c r="G112" s="5"/>
      <c r="H112" s="1"/>
      <c r="I112" s="86">
        <v>33</v>
      </c>
      <c r="O112" t="s">
        <v>1938</v>
      </c>
    </row>
    <row r="113" spans="1:15" x14ac:dyDescent="0.55000000000000004">
      <c r="A113" s="41" t="s">
        <v>1742</v>
      </c>
      <c r="B113" s="5">
        <v>1.8E-3</v>
      </c>
      <c r="C113" s="5">
        <v>1.8E-3</v>
      </c>
      <c r="D113" s="5"/>
      <c r="E113" s="5"/>
      <c r="F113" s="5"/>
      <c r="G113" s="5"/>
      <c r="H113" s="1"/>
      <c r="I113" s="86">
        <v>34</v>
      </c>
      <c r="O113" t="s">
        <v>1939</v>
      </c>
    </row>
    <row r="114" spans="1:15" x14ac:dyDescent="0.55000000000000004">
      <c r="A114" s="41" t="s">
        <v>1743</v>
      </c>
      <c r="B114" s="5">
        <v>0</v>
      </c>
      <c r="C114" s="5">
        <v>0</v>
      </c>
      <c r="D114" s="5"/>
      <c r="E114" s="5"/>
      <c r="F114" s="5"/>
      <c r="G114" s="5"/>
      <c r="H114" s="1"/>
      <c r="I114" s="86">
        <v>35</v>
      </c>
      <c r="O114" t="s">
        <v>1940</v>
      </c>
    </row>
    <row r="115" spans="1:15" x14ac:dyDescent="0.55000000000000004">
      <c r="A115" s="41" t="s">
        <v>1744</v>
      </c>
      <c r="B115" s="5">
        <v>3.5000000000000003E-2</v>
      </c>
      <c r="C115" s="5">
        <v>3.5000000000000003E-2</v>
      </c>
      <c r="D115" s="5"/>
      <c r="E115" s="5"/>
      <c r="F115" s="5"/>
      <c r="G115" s="5"/>
      <c r="H115" s="1"/>
      <c r="I115" s="86">
        <v>36</v>
      </c>
      <c r="O115" t="s">
        <v>1941</v>
      </c>
    </row>
    <row r="116" spans="1:15" x14ac:dyDescent="0.55000000000000004">
      <c r="A116" s="41" t="s">
        <v>1745</v>
      </c>
      <c r="B116" s="5">
        <v>1.8E-3</v>
      </c>
      <c r="C116" s="5">
        <v>1.8E-3</v>
      </c>
      <c r="D116" s="5"/>
      <c r="E116" s="5"/>
      <c r="F116" s="5"/>
      <c r="G116" s="5"/>
      <c r="H116" s="1"/>
      <c r="I116" s="86">
        <v>37</v>
      </c>
      <c r="O116" t="s">
        <v>1942</v>
      </c>
    </row>
    <row r="117" spans="1:15" x14ac:dyDescent="0.55000000000000004">
      <c r="A117" s="41" t="s">
        <v>1746</v>
      </c>
      <c r="B117" s="5">
        <v>0</v>
      </c>
      <c r="C117" s="5">
        <v>0</v>
      </c>
      <c r="D117" s="5"/>
      <c r="E117" s="5"/>
      <c r="F117" s="5"/>
      <c r="G117" s="5"/>
      <c r="H117" s="1"/>
      <c r="I117" s="86">
        <v>38</v>
      </c>
      <c r="O117" t="s">
        <v>1943</v>
      </c>
    </row>
    <row r="118" spans="1:15" x14ac:dyDescent="0.55000000000000004">
      <c r="A118" s="41" t="s">
        <v>1747</v>
      </c>
      <c r="B118" s="5">
        <v>3.5000000000000003E-2</v>
      </c>
      <c r="C118" s="5">
        <v>3.5000000000000003E-2</v>
      </c>
      <c r="D118" s="5"/>
      <c r="E118" s="5"/>
      <c r="F118" s="5"/>
      <c r="G118" s="5"/>
      <c r="H118" s="1"/>
      <c r="I118" s="86">
        <v>39</v>
      </c>
      <c r="O118" t="s">
        <v>1944</v>
      </c>
    </row>
    <row r="119" spans="1:15" x14ac:dyDescent="0.55000000000000004">
      <c r="A119" s="41" t="s">
        <v>1748</v>
      </c>
      <c r="B119" s="5">
        <v>1.8E-3</v>
      </c>
      <c r="C119" s="5">
        <v>1.8E-3</v>
      </c>
      <c r="D119" s="5"/>
      <c r="E119" s="5"/>
      <c r="F119" s="5"/>
      <c r="G119" s="5"/>
      <c r="H119" s="1"/>
      <c r="I119" s="86">
        <v>40</v>
      </c>
      <c r="O119" t="s">
        <v>1945</v>
      </c>
    </row>
    <row r="120" spans="1:15" x14ac:dyDescent="0.55000000000000004">
      <c r="A120" s="41" t="s">
        <v>1749</v>
      </c>
      <c r="B120" s="5">
        <v>0</v>
      </c>
      <c r="C120" s="5">
        <v>0</v>
      </c>
      <c r="D120" s="5"/>
      <c r="E120" s="5"/>
      <c r="F120" s="5"/>
      <c r="G120" s="5"/>
      <c r="H120" s="1"/>
      <c r="I120" s="86">
        <v>41</v>
      </c>
      <c r="O120" t="s">
        <v>1946</v>
      </c>
    </row>
    <row r="121" spans="1:15" x14ac:dyDescent="0.55000000000000004">
      <c r="A121" s="41" t="s">
        <v>1750</v>
      </c>
      <c r="B121" s="5">
        <v>1.1000000000000001</v>
      </c>
      <c r="C121" s="5">
        <v>1.1000000000000001</v>
      </c>
      <c r="D121" s="5"/>
      <c r="E121" s="5"/>
      <c r="F121" s="5"/>
      <c r="G121" s="5"/>
      <c r="H121" s="1"/>
      <c r="I121" s="86">
        <v>42</v>
      </c>
      <c r="O121" t="s">
        <v>1947</v>
      </c>
    </row>
    <row r="122" spans="1:15" x14ac:dyDescent="0.55000000000000004">
      <c r="A122" s="41" t="s">
        <v>1751</v>
      </c>
      <c r="B122" s="5">
        <v>1.1499999999999999</v>
      </c>
      <c r="C122" s="5">
        <v>1.1499999999999999</v>
      </c>
      <c r="D122" s="5"/>
      <c r="E122" s="5"/>
      <c r="F122" s="5"/>
      <c r="G122" s="5"/>
      <c r="H122" s="1"/>
      <c r="I122" s="86">
        <v>43</v>
      </c>
      <c r="O122" t="s">
        <v>1948</v>
      </c>
    </row>
    <row r="123" spans="1:15" x14ac:dyDescent="0.55000000000000004">
      <c r="A123" s="41" t="s">
        <v>1752</v>
      </c>
      <c r="B123" s="5">
        <v>1</v>
      </c>
      <c r="C123" s="5">
        <v>1</v>
      </c>
      <c r="D123" s="5"/>
      <c r="E123" s="5"/>
      <c r="F123" s="5"/>
      <c r="G123" s="5"/>
      <c r="H123" s="1"/>
      <c r="I123" s="86">
        <v>44</v>
      </c>
      <c r="O123" t="s">
        <v>1949</v>
      </c>
    </row>
    <row r="124" spans="1:15" x14ac:dyDescent="0.55000000000000004">
      <c r="A124" s="41" t="s">
        <v>1753</v>
      </c>
      <c r="B124" s="5">
        <v>1.1000000000000001</v>
      </c>
      <c r="C124" s="5">
        <v>1.1000000000000001</v>
      </c>
      <c r="D124" s="5"/>
      <c r="E124" s="5"/>
      <c r="F124" s="5"/>
      <c r="G124" s="5"/>
      <c r="H124" s="1"/>
      <c r="I124" s="86">
        <v>45</v>
      </c>
      <c r="O124" t="s">
        <v>1950</v>
      </c>
    </row>
    <row r="125" spans="1:15" x14ac:dyDescent="0.55000000000000004">
      <c r="A125" s="41" t="s">
        <v>1754</v>
      </c>
      <c r="B125" s="5">
        <v>1.1499999999999999</v>
      </c>
      <c r="C125" s="5">
        <v>1.1499999999999999</v>
      </c>
      <c r="D125" s="5"/>
      <c r="E125" s="5"/>
      <c r="F125" s="5"/>
      <c r="G125" s="5"/>
      <c r="H125" s="1"/>
      <c r="I125" s="86">
        <v>46</v>
      </c>
      <c r="O125" t="s">
        <v>1951</v>
      </c>
    </row>
    <row r="126" spans="1:15" x14ac:dyDescent="0.55000000000000004">
      <c r="A126" s="41" t="s">
        <v>1755</v>
      </c>
      <c r="B126" s="5">
        <v>1</v>
      </c>
      <c r="C126" s="5">
        <v>1</v>
      </c>
      <c r="D126" s="5"/>
      <c r="E126" s="5"/>
      <c r="F126" s="5"/>
      <c r="G126" s="5"/>
      <c r="H126" s="1"/>
      <c r="I126" s="86">
        <v>47</v>
      </c>
      <c r="O126" t="s">
        <v>1952</v>
      </c>
    </row>
    <row r="127" spans="1:15" x14ac:dyDescent="0.55000000000000004">
      <c r="A127" s="41" t="s">
        <v>1756</v>
      </c>
      <c r="B127" s="5">
        <v>1.1000000000000001</v>
      </c>
      <c r="C127" s="5">
        <v>1.1000000000000001</v>
      </c>
      <c r="D127" s="5"/>
      <c r="E127" s="5"/>
      <c r="F127" s="5"/>
      <c r="G127" s="5"/>
      <c r="H127" s="1"/>
      <c r="I127" s="86">
        <v>48</v>
      </c>
      <c r="O127" t="s">
        <v>1953</v>
      </c>
    </row>
    <row r="128" spans="1:15" x14ac:dyDescent="0.55000000000000004">
      <c r="A128" s="41" t="s">
        <v>1757</v>
      </c>
      <c r="B128" s="5">
        <v>1.1499999999999999</v>
      </c>
      <c r="C128" s="5">
        <v>1.1499999999999999</v>
      </c>
      <c r="D128" s="5"/>
      <c r="E128" s="5"/>
      <c r="F128" s="5"/>
      <c r="G128" s="5"/>
      <c r="H128" s="1"/>
      <c r="I128" s="86">
        <v>49</v>
      </c>
      <c r="O128" t="s">
        <v>1954</v>
      </c>
    </row>
    <row r="129" spans="1:15" x14ac:dyDescent="0.55000000000000004">
      <c r="A129" s="41" t="s">
        <v>1758</v>
      </c>
      <c r="B129" s="5">
        <v>1</v>
      </c>
      <c r="C129" s="5">
        <v>1</v>
      </c>
      <c r="D129" s="5"/>
      <c r="E129" s="5"/>
      <c r="F129" s="5"/>
      <c r="G129" s="5"/>
      <c r="H129" s="1"/>
      <c r="I129" s="86">
        <v>50</v>
      </c>
      <c r="O129" t="s">
        <v>1955</v>
      </c>
    </row>
    <row r="130" spans="1:15" x14ac:dyDescent="0.55000000000000004">
      <c r="A130" s="41" t="s">
        <v>1759</v>
      </c>
      <c r="B130" s="5">
        <v>0.02</v>
      </c>
      <c r="C130" s="5">
        <v>0.02</v>
      </c>
      <c r="D130" s="5"/>
      <c r="E130" s="5"/>
      <c r="F130" s="5"/>
      <c r="G130" s="5"/>
      <c r="H130" s="1"/>
      <c r="I130" s="86">
        <v>51</v>
      </c>
      <c r="O130" t="s">
        <v>1956</v>
      </c>
    </row>
    <row r="131" spans="1:15" x14ac:dyDescent="0.55000000000000004">
      <c r="A131" s="41" t="s">
        <v>1760</v>
      </c>
      <c r="B131" s="5">
        <v>0</v>
      </c>
      <c r="C131" s="5">
        <v>0</v>
      </c>
      <c r="D131" s="5"/>
      <c r="E131" s="5"/>
      <c r="F131" s="5"/>
      <c r="G131" s="5"/>
      <c r="H131" s="1"/>
      <c r="I131" s="86">
        <v>52</v>
      </c>
      <c r="O131" t="s">
        <v>1957</v>
      </c>
    </row>
    <row r="132" spans="1:15" x14ac:dyDescent="0.55000000000000004">
      <c r="A132" s="41" t="s">
        <v>1761</v>
      </c>
      <c r="B132" s="5">
        <v>0.01</v>
      </c>
      <c r="C132" s="5">
        <v>0.01</v>
      </c>
      <c r="D132" s="5"/>
      <c r="E132" s="5"/>
      <c r="F132" s="5"/>
      <c r="G132" s="5"/>
      <c r="H132" s="1"/>
      <c r="I132" s="86">
        <v>53</v>
      </c>
      <c r="O132" t="s">
        <v>1958</v>
      </c>
    </row>
    <row r="133" spans="1:15" x14ac:dyDescent="0.55000000000000004">
      <c r="A133" s="41" t="s">
        <v>1762</v>
      </c>
      <c r="B133" s="5">
        <v>1E-3</v>
      </c>
      <c r="C133" s="5">
        <v>1E-3</v>
      </c>
      <c r="D133" s="5"/>
      <c r="E133" s="5"/>
      <c r="F133" s="5"/>
      <c r="G133" s="5"/>
      <c r="H133" s="1"/>
      <c r="I133" s="86">
        <v>54</v>
      </c>
      <c r="O133" t="s">
        <v>1959</v>
      </c>
    </row>
    <row r="134" spans="1:15" x14ac:dyDescent="0.55000000000000004">
      <c r="A134" s="41" t="s">
        <v>1763</v>
      </c>
      <c r="B134" s="5">
        <v>1E-3</v>
      </c>
      <c r="C134" s="5">
        <v>1E-3</v>
      </c>
      <c r="D134" s="5"/>
      <c r="E134" s="5"/>
      <c r="F134" s="5"/>
      <c r="G134" s="5"/>
      <c r="H134" s="1"/>
      <c r="I134" s="86">
        <v>55</v>
      </c>
      <c r="O134" t="s">
        <v>1960</v>
      </c>
    </row>
    <row r="135" spans="1:15" x14ac:dyDescent="0.55000000000000004">
      <c r="A135" s="41" t="s">
        <v>1764</v>
      </c>
      <c r="B135" s="5">
        <v>0.1</v>
      </c>
      <c r="C135" s="5">
        <v>0.1</v>
      </c>
      <c r="D135" s="5"/>
      <c r="E135" s="5"/>
      <c r="F135" s="5"/>
      <c r="G135" s="5"/>
      <c r="H135" s="1"/>
      <c r="I135" s="86">
        <v>56</v>
      </c>
      <c r="O135" t="s">
        <v>1961</v>
      </c>
    </row>
    <row r="136" spans="1:15" x14ac:dyDescent="0.55000000000000004">
      <c r="A136" s="41" t="s">
        <v>1765</v>
      </c>
      <c r="B136" s="5">
        <v>0.1</v>
      </c>
      <c r="C136" s="5">
        <v>0.1</v>
      </c>
      <c r="D136" s="5"/>
      <c r="E136" s="5"/>
      <c r="F136" s="5"/>
      <c r="G136" s="5"/>
      <c r="H136" s="1"/>
      <c r="I136" s="86">
        <v>57</v>
      </c>
      <c r="O136" t="s">
        <v>1962</v>
      </c>
    </row>
    <row r="137" spans="1:15" ht="28.8" x14ac:dyDescent="0.55000000000000004">
      <c r="A137" s="85" t="s">
        <v>1975</v>
      </c>
      <c r="B137" s="5">
        <v>1</v>
      </c>
      <c r="C137" s="5">
        <v>0</v>
      </c>
      <c r="D137" s="5"/>
      <c r="E137" s="5"/>
      <c r="F137" s="5"/>
      <c r="G137" s="5"/>
      <c r="H137" s="1"/>
      <c r="I137" s="86">
        <v>58</v>
      </c>
      <c r="O137" t="s">
        <v>1963</v>
      </c>
    </row>
    <row r="138" spans="1:15" x14ac:dyDescent="0.55000000000000004">
      <c r="A138" s="9" t="s">
        <v>1817</v>
      </c>
      <c r="B138" s="5">
        <v>5.0000000000000002E-5</v>
      </c>
      <c r="C138" s="5">
        <v>5.0000000000000002E-5</v>
      </c>
      <c r="D138" s="5"/>
      <c r="E138" s="5"/>
      <c r="F138" s="5"/>
      <c r="G138" s="5"/>
      <c r="H138" s="1"/>
      <c r="I138" s="86">
        <v>59</v>
      </c>
      <c r="O138" t="s">
        <v>1964</v>
      </c>
    </row>
    <row r="139" spans="1:15" x14ac:dyDescent="0.55000000000000004">
      <c r="A139" s="9" t="s">
        <v>1818</v>
      </c>
      <c r="B139" s="5">
        <v>0.01</v>
      </c>
      <c r="C139" s="5">
        <v>0.01</v>
      </c>
      <c r="D139" s="5"/>
      <c r="E139" s="5"/>
      <c r="F139" s="5"/>
      <c r="G139" s="5"/>
      <c r="H139" s="1"/>
      <c r="I139" s="86">
        <v>60</v>
      </c>
      <c r="O139" t="s">
        <v>1965</v>
      </c>
    </row>
    <row r="140" spans="1:15" x14ac:dyDescent="0.55000000000000004">
      <c r="A140" s="9" t="s">
        <v>1819</v>
      </c>
      <c r="B140" s="5">
        <v>5.0000000000000002E-5</v>
      </c>
      <c r="C140" s="5">
        <v>5.0000000000000002E-5</v>
      </c>
      <c r="D140" s="5"/>
      <c r="E140" s="5"/>
      <c r="F140" s="5"/>
      <c r="G140" s="5"/>
      <c r="H140" s="1"/>
      <c r="I140" s="86">
        <v>61</v>
      </c>
      <c r="O140" t="s">
        <v>1966</v>
      </c>
    </row>
    <row r="141" spans="1:15" x14ac:dyDescent="0.55000000000000004">
      <c r="A141" s="9" t="s">
        <v>1820</v>
      </c>
      <c r="B141" s="5">
        <v>0.01</v>
      </c>
      <c r="C141" s="5">
        <v>0.01</v>
      </c>
      <c r="D141" s="5"/>
      <c r="E141" s="5"/>
      <c r="F141" s="5"/>
      <c r="G141" s="5"/>
      <c r="H141" s="1"/>
      <c r="I141" s="86">
        <v>62</v>
      </c>
      <c r="O141" t="s">
        <v>1967</v>
      </c>
    </row>
    <row r="142" spans="1:15" x14ac:dyDescent="0.55000000000000004">
      <c r="A142" s="41" t="s">
        <v>1766</v>
      </c>
      <c r="B142" s="5" t="s">
        <v>1687</v>
      </c>
      <c r="C142" s="41"/>
      <c r="D142" s="41"/>
      <c r="E142" s="41"/>
      <c r="F142" s="41"/>
      <c r="O142" t="s">
        <v>1968</v>
      </c>
    </row>
    <row r="143" spans="1:15" x14ac:dyDescent="0.55000000000000004">
      <c r="A143" s="41" t="s">
        <v>1767</v>
      </c>
      <c r="B143" s="5">
        <v>1</v>
      </c>
      <c r="C143" s="41"/>
      <c r="D143" s="41"/>
      <c r="E143" s="41"/>
      <c r="F143" s="41"/>
      <c r="O143" t="s">
        <v>1969</v>
      </c>
    </row>
    <row r="144" spans="1:15" x14ac:dyDescent="0.55000000000000004">
      <c r="A144" s="90" t="s">
        <v>2464</v>
      </c>
      <c r="B144" s="32">
        <v>2</v>
      </c>
    </row>
  </sheetData>
  <hyperlinks>
    <hyperlink ref="M3" location="'Index of Sheets'!A1" display="'Index of Sheets'!A1" xr:uid="{5B8BC462-D04F-4789-BCF2-1F71C0E639F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Button4_Click">
                <anchor moveWithCells="1" sizeWithCells="1">
                  <from>
                    <xdr:col>8</xdr:col>
                    <xdr:colOff>480060</xdr:colOff>
                    <xdr:row>1</xdr:row>
                    <xdr:rowOff>3810</xdr:rowOff>
                  </from>
                  <to>
                    <xdr:col>11</xdr:col>
                    <xdr:colOff>220980</xdr:colOff>
                    <xdr:row>5</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O5" sqref="O5"/>
    </sheetView>
  </sheetViews>
  <sheetFormatPr defaultRowHeight="14.4" x14ac:dyDescent="0.55000000000000004"/>
  <cols>
    <col min="2" max="2" width="12.68359375" bestFit="1" customWidth="1"/>
    <col min="3" max="3" width="14.15625" bestFit="1" customWidth="1"/>
    <col min="4" max="4" width="14.68359375" bestFit="1" customWidth="1"/>
    <col min="7" max="7" width="19.15625" bestFit="1" customWidth="1"/>
  </cols>
  <sheetData>
    <row r="1" spans="1:13" x14ac:dyDescent="0.55000000000000004">
      <c r="A1" s="13" t="s">
        <v>1291</v>
      </c>
      <c r="B1" s="13"/>
      <c r="C1" s="13"/>
      <c r="D1" s="13"/>
      <c r="E1" s="13"/>
      <c r="F1" s="13"/>
      <c r="G1" s="13"/>
      <c r="H1" s="13"/>
      <c r="I1" s="13"/>
      <c r="J1" s="13"/>
      <c r="K1" s="13"/>
    </row>
    <row r="2" spans="1:13" x14ac:dyDescent="0.55000000000000004">
      <c r="A2" s="13" t="s">
        <v>1313</v>
      </c>
      <c r="B2" s="13" t="s">
        <v>1314</v>
      </c>
      <c r="C2" s="13" t="s">
        <v>1315</v>
      </c>
      <c r="D2" s="13"/>
      <c r="E2" s="13"/>
      <c r="F2" s="13"/>
      <c r="G2" s="13"/>
      <c r="H2" s="13"/>
      <c r="I2" s="13"/>
      <c r="J2" s="13"/>
      <c r="K2" s="13"/>
      <c r="M2" t="s">
        <v>1614</v>
      </c>
    </row>
    <row r="3" spans="1:13" x14ac:dyDescent="0.55000000000000004">
      <c r="A3" s="5">
        <v>1</v>
      </c>
      <c r="B3" s="5" t="s">
        <v>1292</v>
      </c>
      <c r="C3" s="13"/>
      <c r="D3" s="13"/>
      <c r="E3" s="13"/>
      <c r="F3" s="13"/>
      <c r="G3" s="13"/>
      <c r="H3" s="13"/>
      <c r="I3" s="13"/>
      <c r="J3" s="13"/>
      <c r="K3" s="13"/>
      <c r="M3" s="66" t="s">
        <v>1613</v>
      </c>
    </row>
    <row r="4" spans="1:13" x14ac:dyDescent="0.55000000000000004">
      <c r="A4" s="13"/>
      <c r="B4" s="13" t="s">
        <v>1304</v>
      </c>
      <c r="C4" s="13" t="s">
        <v>1305</v>
      </c>
      <c r="D4" s="13" t="s">
        <v>1306</v>
      </c>
      <c r="E4" s="13" t="s">
        <v>1307</v>
      </c>
      <c r="F4" s="13" t="s">
        <v>1308</v>
      </c>
      <c r="G4" s="13" t="s">
        <v>1309</v>
      </c>
      <c r="H4" s="13" t="s">
        <v>1310</v>
      </c>
      <c r="I4" s="13" t="s">
        <v>1310</v>
      </c>
      <c r="J4" s="13" t="s">
        <v>1311</v>
      </c>
      <c r="K4" s="13" t="s">
        <v>1312</v>
      </c>
    </row>
    <row r="5" spans="1:13" x14ac:dyDescent="0.55000000000000004">
      <c r="A5" s="13" t="s">
        <v>1293</v>
      </c>
      <c r="B5" s="13" t="s">
        <v>1294</v>
      </c>
      <c r="C5" s="13" t="s">
        <v>1295</v>
      </c>
      <c r="D5" s="13" t="s">
        <v>1296</v>
      </c>
      <c r="E5" s="13" t="s">
        <v>1297</v>
      </c>
      <c r="F5" s="13" t="s">
        <v>1298</v>
      </c>
      <c r="G5" s="13" t="s">
        <v>1299</v>
      </c>
      <c r="H5" s="13" t="s">
        <v>1300</v>
      </c>
      <c r="I5" s="13" t="s">
        <v>1301</v>
      </c>
      <c r="J5" s="13" t="s">
        <v>1302</v>
      </c>
      <c r="K5" s="13" t="s">
        <v>1303</v>
      </c>
    </row>
    <row r="6" spans="1:13" x14ac:dyDescent="0.55000000000000004">
      <c r="A6" s="5">
        <v>31</v>
      </c>
      <c r="B6" s="5">
        <v>25</v>
      </c>
      <c r="C6" s="5">
        <v>30</v>
      </c>
      <c r="D6" s="5">
        <v>12500</v>
      </c>
      <c r="E6" s="5">
        <v>200</v>
      </c>
      <c r="F6" s="5">
        <v>300</v>
      </c>
      <c r="G6" s="5">
        <v>5</v>
      </c>
      <c r="H6" s="5">
        <v>12.5</v>
      </c>
      <c r="I6" s="5">
        <v>11</v>
      </c>
      <c r="J6" s="5">
        <v>31</v>
      </c>
      <c r="K6" s="5">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3</xdr:col>
                    <xdr:colOff>678180</xdr:colOff>
                    <xdr:row>7</xdr:row>
                    <xdr:rowOff>0</xdr:rowOff>
                  </from>
                  <to>
                    <xdr:col>5</xdr:col>
                    <xdr:colOff>636270</xdr:colOff>
                    <xdr:row>11</xdr:row>
                    <xdr:rowOff>22860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9"/>
  <sheetViews>
    <sheetView zoomScale="90" zoomScaleNormal="90" workbookViewId="0">
      <selection activeCell="R21" sqref="R21"/>
    </sheetView>
  </sheetViews>
  <sheetFormatPr defaultRowHeight="14.4" x14ac:dyDescent="0.55000000000000004"/>
  <cols>
    <col min="1" max="1" width="10.15625" customWidth="1"/>
    <col min="12" max="12" width="8.9453125" customWidth="1"/>
  </cols>
  <sheetData>
    <row r="1" spans="1:17" x14ac:dyDescent="0.55000000000000004">
      <c r="A1" s="9" t="s">
        <v>1317</v>
      </c>
      <c r="B1" s="9"/>
      <c r="C1" s="9"/>
      <c r="D1" s="9"/>
      <c r="E1" s="9"/>
      <c r="F1" s="9"/>
      <c r="G1" s="9"/>
      <c r="H1" s="9"/>
      <c r="I1" s="9"/>
      <c r="J1" s="9"/>
      <c r="K1" s="10"/>
    </row>
    <row r="2" spans="1:17" x14ac:dyDescent="0.55000000000000004">
      <c r="A2" s="9" t="s">
        <v>2132</v>
      </c>
      <c r="B2" s="9" t="s">
        <v>1334</v>
      </c>
      <c r="C2" s="9" t="s">
        <v>6</v>
      </c>
      <c r="D2" s="9" t="s">
        <v>1318</v>
      </c>
      <c r="E2" s="9" t="s">
        <v>1319</v>
      </c>
      <c r="F2" s="9" t="s">
        <v>2134</v>
      </c>
      <c r="G2" s="9" t="s">
        <v>2135</v>
      </c>
      <c r="H2" s="9" t="s">
        <v>2136</v>
      </c>
      <c r="I2" s="9" t="s">
        <v>2137</v>
      </c>
      <c r="J2" s="9" t="s">
        <v>2138</v>
      </c>
      <c r="K2" s="9" t="s">
        <v>2139</v>
      </c>
      <c r="M2" t="s">
        <v>1614</v>
      </c>
    </row>
    <row r="3" spans="1:17" x14ac:dyDescent="0.55000000000000004">
      <c r="A3" s="5">
        <v>1</v>
      </c>
      <c r="B3" s="5">
        <v>20</v>
      </c>
      <c r="C3" s="5" t="s">
        <v>11</v>
      </c>
      <c r="D3" s="5">
        <v>100</v>
      </c>
      <c r="E3" s="5">
        <v>150</v>
      </c>
      <c r="F3" s="5">
        <v>5</v>
      </c>
      <c r="G3" s="5">
        <v>25</v>
      </c>
      <c r="H3" s="5"/>
      <c r="I3" s="5"/>
      <c r="J3" s="5"/>
      <c r="K3" s="5"/>
      <c r="M3" s="66" t="s">
        <v>1613</v>
      </c>
    </row>
    <row r="4" spans="1:17" x14ac:dyDescent="0.55000000000000004">
      <c r="A4" s="9" t="s">
        <v>2133</v>
      </c>
      <c r="B4" s="9"/>
      <c r="C4" s="9"/>
      <c r="D4" s="9"/>
      <c r="E4" s="9"/>
      <c r="F4" s="9"/>
      <c r="G4" s="9"/>
      <c r="H4" s="9"/>
      <c r="I4" s="9"/>
      <c r="J4" s="9"/>
      <c r="K4" s="10"/>
    </row>
    <row r="5" spans="1:17" x14ac:dyDescent="0.55000000000000004">
      <c r="A5" s="9" t="s">
        <v>1320</v>
      </c>
      <c r="B5" s="9" t="s">
        <v>1321</v>
      </c>
      <c r="C5" s="9" t="s">
        <v>1322</v>
      </c>
      <c r="D5" s="9" t="s">
        <v>1323</v>
      </c>
      <c r="E5" s="9" t="s">
        <v>1324</v>
      </c>
      <c r="F5" s="9" t="s">
        <v>1325</v>
      </c>
      <c r="G5" s="9" t="s">
        <v>1326</v>
      </c>
      <c r="H5" s="9" t="s">
        <v>1327</v>
      </c>
      <c r="I5" s="9" t="s">
        <v>1328</v>
      </c>
      <c r="J5" s="9"/>
      <c r="K5" s="10"/>
    </row>
    <row r="6" spans="1:17" x14ac:dyDescent="0.55000000000000004">
      <c r="A6" s="5" t="s">
        <v>11</v>
      </c>
      <c r="B6" s="5">
        <v>0.05</v>
      </c>
      <c r="C6" s="5">
        <v>0.5</v>
      </c>
      <c r="D6" s="5" t="s">
        <v>1329</v>
      </c>
      <c r="E6" s="5">
        <v>1</v>
      </c>
      <c r="F6" s="5">
        <v>30</v>
      </c>
      <c r="G6" s="5" t="s">
        <v>11</v>
      </c>
      <c r="H6" s="5">
        <v>10</v>
      </c>
      <c r="I6" s="5">
        <v>120</v>
      </c>
      <c r="J6" s="9"/>
      <c r="K6" s="10"/>
    </row>
    <row r="7" spans="1:17" x14ac:dyDescent="0.55000000000000004">
      <c r="A7" s="9"/>
      <c r="B7" s="9"/>
      <c r="C7" s="9"/>
      <c r="D7" s="9"/>
      <c r="E7" s="9"/>
      <c r="F7" s="9"/>
      <c r="G7" s="9"/>
      <c r="H7" s="9"/>
      <c r="I7" s="9"/>
      <c r="J7" s="9"/>
      <c r="K7" s="10"/>
      <c r="O7" s="5" t="s">
        <v>1019</v>
      </c>
    </row>
    <row r="8" spans="1:17" x14ac:dyDescent="0.55000000000000004">
      <c r="A8" s="9" t="s">
        <v>1330</v>
      </c>
      <c r="B8" s="9" t="s">
        <v>1331</v>
      </c>
      <c r="C8" s="9" t="s">
        <v>1332</v>
      </c>
      <c r="D8" s="9" t="s">
        <v>1333</v>
      </c>
      <c r="E8" s="9"/>
      <c r="F8" s="9"/>
      <c r="G8" s="9"/>
      <c r="H8" s="9"/>
      <c r="I8" s="9"/>
      <c r="J8" s="9"/>
      <c r="K8" s="10"/>
      <c r="O8" s="5" t="s">
        <v>1020</v>
      </c>
    </row>
    <row r="9" spans="1:17" x14ac:dyDescent="0.55000000000000004">
      <c r="A9" s="5" t="s">
        <v>1019</v>
      </c>
      <c r="B9" s="4" t="s">
        <v>11</v>
      </c>
      <c r="C9" s="4">
        <v>1</v>
      </c>
      <c r="D9" s="4">
        <v>20</v>
      </c>
      <c r="E9" s="9"/>
      <c r="F9" s="9"/>
      <c r="G9" s="9"/>
      <c r="H9" s="9"/>
      <c r="I9" s="9"/>
      <c r="J9" s="9"/>
      <c r="K9" s="10"/>
      <c r="O9" s="5" t="s">
        <v>1021</v>
      </c>
      <c r="Q9" s="100" t="s">
        <v>1338</v>
      </c>
    </row>
    <row r="10" spans="1:17" x14ac:dyDescent="0.55000000000000004">
      <c r="A10" s="5" t="s">
        <v>1020</v>
      </c>
      <c r="B10" s="4" t="s">
        <v>2</v>
      </c>
      <c r="C10" s="4">
        <v>1</v>
      </c>
      <c r="D10" s="4">
        <v>20</v>
      </c>
      <c r="E10" s="9"/>
      <c r="F10" s="9"/>
      <c r="G10" s="9"/>
      <c r="H10" s="9"/>
      <c r="I10" s="9"/>
      <c r="J10" s="9"/>
      <c r="K10" s="10"/>
      <c r="O10" s="5" t="s">
        <v>1022</v>
      </c>
      <c r="Q10" s="100" t="s">
        <v>1339</v>
      </c>
    </row>
    <row r="11" spans="1:17" x14ac:dyDescent="0.55000000000000004">
      <c r="A11" s="5" t="s">
        <v>1021</v>
      </c>
      <c r="B11" s="4" t="s">
        <v>2</v>
      </c>
      <c r="C11" s="4">
        <v>1</v>
      </c>
      <c r="D11" s="4">
        <v>20</v>
      </c>
      <c r="E11" s="9"/>
      <c r="F11" s="9"/>
      <c r="G11" s="9"/>
      <c r="H11" s="9"/>
      <c r="I11" s="9"/>
      <c r="J11" s="9"/>
      <c r="K11" s="10"/>
      <c r="O11" s="5" t="s">
        <v>1023</v>
      </c>
      <c r="Q11" s="100" t="s">
        <v>1340</v>
      </c>
    </row>
    <row r="12" spans="1:17" x14ac:dyDescent="0.55000000000000004">
      <c r="A12" s="5" t="s">
        <v>1022</v>
      </c>
      <c r="B12" s="4" t="s">
        <v>2</v>
      </c>
      <c r="C12" s="4">
        <v>1</v>
      </c>
      <c r="D12" s="4">
        <v>20</v>
      </c>
      <c r="E12" s="9"/>
      <c r="F12" s="9"/>
      <c r="G12" s="9"/>
      <c r="H12" s="9"/>
      <c r="I12" s="9"/>
      <c r="J12" s="9"/>
      <c r="K12" s="10"/>
      <c r="O12" s="11" t="s">
        <v>1535</v>
      </c>
      <c r="Q12" t="s">
        <v>1598</v>
      </c>
    </row>
    <row r="13" spans="1:17" x14ac:dyDescent="0.55000000000000004">
      <c r="A13" s="5" t="s">
        <v>1023</v>
      </c>
      <c r="B13" s="4" t="s">
        <v>2</v>
      </c>
      <c r="C13" s="4">
        <v>1</v>
      </c>
      <c r="D13" s="4">
        <v>20</v>
      </c>
      <c r="E13" s="9"/>
      <c r="F13" s="9"/>
      <c r="G13" s="9"/>
      <c r="H13" s="9"/>
      <c r="I13" s="9"/>
      <c r="J13" s="9"/>
      <c r="K13" s="10"/>
      <c r="O13" s="11" t="s">
        <v>1536</v>
      </c>
      <c r="Q13" s="17" t="e">
        <f>#REF!</f>
        <v>#REF!</v>
      </c>
    </row>
    <row r="14" spans="1:17" x14ac:dyDescent="0.55000000000000004">
      <c r="A14" s="11" t="s">
        <v>1535</v>
      </c>
      <c r="B14" s="4" t="s">
        <v>11</v>
      </c>
      <c r="C14" s="4">
        <v>1</v>
      </c>
      <c r="D14" s="4">
        <v>20</v>
      </c>
      <c r="E14" s="9"/>
      <c r="F14" s="9"/>
      <c r="G14" s="9"/>
      <c r="H14" s="9"/>
      <c r="I14" s="9"/>
      <c r="J14" s="9"/>
      <c r="K14" s="10"/>
      <c r="O14" s="5" t="s">
        <v>1537</v>
      </c>
    </row>
    <row r="15" spans="1:17" x14ac:dyDescent="0.55000000000000004">
      <c r="A15" s="11" t="s">
        <v>1536</v>
      </c>
      <c r="B15" s="4" t="s">
        <v>11</v>
      </c>
      <c r="C15" s="4">
        <v>1</v>
      </c>
      <c r="D15" s="4">
        <v>20</v>
      </c>
      <c r="E15" s="9"/>
      <c r="F15" s="9"/>
      <c r="G15" s="9"/>
      <c r="H15" s="9"/>
      <c r="I15" s="9"/>
      <c r="J15" s="9"/>
      <c r="K15" s="10"/>
      <c r="O15" s="5" t="s">
        <v>1538</v>
      </c>
    </row>
    <row r="16" spans="1:17" x14ac:dyDescent="0.55000000000000004">
      <c r="A16" s="5" t="s">
        <v>1537</v>
      </c>
      <c r="B16" s="4" t="s">
        <v>11</v>
      </c>
      <c r="C16" s="4">
        <v>1</v>
      </c>
      <c r="D16" s="4">
        <v>20</v>
      </c>
      <c r="E16" s="9"/>
      <c r="F16" s="9"/>
      <c r="G16" s="9"/>
      <c r="H16" s="9"/>
      <c r="I16" s="9"/>
      <c r="J16" s="9"/>
      <c r="K16" s="10"/>
      <c r="O16" s="5" t="s">
        <v>1524</v>
      </c>
    </row>
    <row r="17" spans="1:15" x14ac:dyDescent="0.55000000000000004">
      <c r="A17" s="5" t="s">
        <v>1538</v>
      </c>
      <c r="B17" s="4" t="s">
        <v>11</v>
      </c>
      <c r="C17" s="4">
        <v>1</v>
      </c>
      <c r="D17" s="4">
        <v>20</v>
      </c>
      <c r="E17" s="9"/>
      <c r="F17" s="9"/>
      <c r="G17" s="9"/>
      <c r="H17" s="9"/>
      <c r="I17" s="9"/>
      <c r="J17" s="9"/>
      <c r="K17" s="10"/>
      <c r="O17" s="5" t="s">
        <v>1525</v>
      </c>
    </row>
    <row r="18" spans="1:15" x14ac:dyDescent="0.55000000000000004">
      <c r="A18" s="5" t="s">
        <v>1524</v>
      </c>
      <c r="B18" s="4" t="s">
        <v>11</v>
      </c>
      <c r="C18" s="4">
        <v>1</v>
      </c>
      <c r="D18" s="4">
        <v>20</v>
      </c>
      <c r="E18" s="9"/>
      <c r="F18" s="9"/>
      <c r="G18" s="9"/>
      <c r="H18" s="9"/>
      <c r="I18" s="9"/>
      <c r="J18" s="9"/>
      <c r="K18" s="10"/>
      <c r="O18" s="5" t="s">
        <v>1539</v>
      </c>
    </row>
    <row r="19" spans="1:15" x14ac:dyDescent="0.55000000000000004">
      <c r="A19" s="5" t="s">
        <v>1525</v>
      </c>
      <c r="B19" s="4" t="s">
        <v>11</v>
      </c>
      <c r="C19" s="4">
        <v>1</v>
      </c>
      <c r="D19" s="4">
        <v>20</v>
      </c>
      <c r="E19" s="9"/>
      <c r="F19" s="9"/>
      <c r="G19" s="9"/>
      <c r="H19" s="9"/>
      <c r="I19" s="9"/>
      <c r="J19" s="9"/>
      <c r="K19" s="10"/>
      <c r="O19" s="5" t="s">
        <v>1540</v>
      </c>
    </row>
    <row r="20" spans="1:15" x14ac:dyDescent="0.55000000000000004">
      <c r="A20" s="5" t="s">
        <v>1539</v>
      </c>
      <c r="B20" s="4" t="s">
        <v>11</v>
      </c>
      <c r="C20" s="4">
        <v>1</v>
      </c>
      <c r="D20" s="4">
        <v>20</v>
      </c>
      <c r="E20" s="9"/>
      <c r="F20" s="9"/>
      <c r="G20" s="9"/>
      <c r="H20" s="9"/>
      <c r="I20" s="9"/>
      <c r="J20" s="9"/>
      <c r="K20" s="10"/>
      <c r="O20" s="5" t="s">
        <v>1541</v>
      </c>
    </row>
    <row r="21" spans="1:15" x14ac:dyDescent="0.55000000000000004">
      <c r="A21" s="5" t="s">
        <v>1540</v>
      </c>
      <c r="B21" s="4" t="s">
        <v>11</v>
      </c>
      <c r="C21" s="4">
        <v>1</v>
      </c>
      <c r="D21" s="4">
        <v>20</v>
      </c>
      <c r="E21" s="9"/>
      <c r="F21" s="9"/>
      <c r="G21" s="9"/>
      <c r="H21" s="9"/>
      <c r="I21" s="9"/>
      <c r="J21" s="9"/>
      <c r="K21" s="10"/>
      <c r="O21" s="5" t="s">
        <v>1542</v>
      </c>
    </row>
    <row r="22" spans="1:15" x14ac:dyDescent="0.55000000000000004">
      <c r="A22" s="5" t="s">
        <v>1541</v>
      </c>
      <c r="B22" s="4" t="s">
        <v>11</v>
      </c>
      <c r="C22" s="4">
        <v>1</v>
      </c>
      <c r="D22" s="4">
        <v>20</v>
      </c>
      <c r="E22" s="9"/>
      <c r="F22" s="9"/>
      <c r="G22" s="9"/>
      <c r="H22" s="9"/>
      <c r="I22" s="9"/>
      <c r="J22" s="9"/>
      <c r="K22" s="10"/>
      <c r="O22" s="5" t="s">
        <v>1543</v>
      </c>
    </row>
    <row r="23" spans="1:15" x14ac:dyDescent="0.55000000000000004">
      <c r="A23" s="5" t="s">
        <v>1542</v>
      </c>
      <c r="B23" s="4" t="s">
        <v>11</v>
      </c>
      <c r="C23" s="4">
        <v>1</v>
      </c>
      <c r="D23" s="4">
        <v>20</v>
      </c>
      <c r="E23" s="9"/>
      <c r="F23" s="9"/>
      <c r="G23" s="9"/>
      <c r="H23" s="9"/>
      <c r="I23" s="9"/>
      <c r="J23" s="9"/>
      <c r="K23" s="10"/>
      <c r="O23" s="5" t="s">
        <v>1024</v>
      </c>
    </row>
    <row r="24" spans="1:15" x14ac:dyDescent="0.55000000000000004">
      <c r="A24" s="5" t="s">
        <v>1543</v>
      </c>
      <c r="B24" s="4" t="s">
        <v>11</v>
      </c>
      <c r="C24" s="4">
        <v>1</v>
      </c>
      <c r="D24" s="4">
        <v>20</v>
      </c>
      <c r="E24" s="9"/>
      <c r="F24" s="9"/>
      <c r="G24" s="9"/>
      <c r="H24" s="9"/>
      <c r="I24" s="9"/>
      <c r="J24" s="9"/>
      <c r="K24" s="10"/>
      <c r="O24" s="5" t="s">
        <v>1025</v>
      </c>
    </row>
    <row r="25" spans="1:15" x14ac:dyDescent="0.55000000000000004">
      <c r="A25" s="5" t="s">
        <v>1024</v>
      </c>
      <c r="B25" s="4" t="s">
        <v>2</v>
      </c>
      <c r="C25" s="4">
        <v>1</v>
      </c>
      <c r="D25" s="4">
        <v>20</v>
      </c>
      <c r="E25" s="9"/>
      <c r="F25" s="9"/>
      <c r="G25" s="9"/>
      <c r="H25" s="9"/>
      <c r="I25" s="9"/>
      <c r="J25" s="9"/>
      <c r="K25" s="10"/>
      <c r="O25" s="5" t="s">
        <v>1026</v>
      </c>
    </row>
    <row r="26" spans="1:15" x14ac:dyDescent="0.55000000000000004">
      <c r="A26" s="5" t="s">
        <v>1025</v>
      </c>
      <c r="B26" s="4" t="s">
        <v>11</v>
      </c>
      <c r="C26" s="4">
        <v>1</v>
      </c>
      <c r="D26" s="4">
        <v>20</v>
      </c>
      <c r="E26" s="9"/>
      <c r="F26" s="9"/>
      <c r="G26" s="9"/>
      <c r="H26" s="9"/>
      <c r="I26" s="9"/>
      <c r="J26" s="9"/>
      <c r="K26" s="10"/>
      <c r="O26" s="5" t="s">
        <v>1027</v>
      </c>
    </row>
    <row r="27" spans="1:15" x14ac:dyDescent="0.55000000000000004">
      <c r="A27" s="5" t="s">
        <v>1026</v>
      </c>
      <c r="B27" s="4" t="s">
        <v>11</v>
      </c>
      <c r="C27" s="4">
        <v>1</v>
      </c>
      <c r="D27" s="4">
        <v>20</v>
      </c>
      <c r="E27" s="9"/>
      <c r="F27" s="9"/>
      <c r="G27" s="9"/>
      <c r="H27" s="9"/>
      <c r="I27" s="9"/>
      <c r="J27" s="9"/>
      <c r="K27" s="10"/>
      <c r="O27" s="5" t="s">
        <v>1028</v>
      </c>
    </row>
    <row r="28" spans="1:15" x14ac:dyDescent="0.55000000000000004">
      <c r="A28" s="5" t="s">
        <v>1027</v>
      </c>
      <c r="B28" s="4" t="s">
        <v>11</v>
      </c>
      <c r="C28" s="4">
        <v>1</v>
      </c>
      <c r="D28" s="4">
        <v>20</v>
      </c>
      <c r="E28" s="9"/>
      <c r="F28" s="9"/>
      <c r="G28" s="9"/>
      <c r="H28" s="9"/>
      <c r="I28" s="9"/>
      <c r="J28" s="9"/>
      <c r="K28" s="10"/>
      <c r="O28" s="5" t="s">
        <v>1030</v>
      </c>
    </row>
    <row r="29" spans="1:15" x14ac:dyDescent="0.55000000000000004">
      <c r="A29" s="5" t="s">
        <v>1028</v>
      </c>
      <c r="B29" s="4" t="s">
        <v>11</v>
      </c>
      <c r="C29" s="4">
        <v>1</v>
      </c>
      <c r="D29" s="4">
        <v>20</v>
      </c>
      <c r="E29" s="9"/>
      <c r="F29" s="9"/>
      <c r="G29" s="9"/>
      <c r="H29" s="9"/>
      <c r="I29" s="9"/>
      <c r="J29" s="9"/>
      <c r="K29" s="10"/>
      <c r="O29" s="5" t="s">
        <v>1031</v>
      </c>
    </row>
    <row r="30" spans="1:15" x14ac:dyDescent="0.55000000000000004">
      <c r="A30" s="5" t="s">
        <v>1030</v>
      </c>
      <c r="B30" s="4" t="s">
        <v>11</v>
      </c>
      <c r="C30" s="4">
        <v>1</v>
      </c>
      <c r="D30" s="4">
        <v>20</v>
      </c>
      <c r="E30" s="9"/>
      <c r="F30" s="9"/>
      <c r="G30" s="9"/>
      <c r="H30" s="9"/>
      <c r="I30" s="9"/>
      <c r="J30" s="9"/>
      <c r="K30" s="10"/>
      <c r="O30" s="5" t="s">
        <v>1032</v>
      </c>
    </row>
    <row r="31" spans="1:15" x14ac:dyDescent="0.55000000000000004">
      <c r="A31" s="5" t="s">
        <v>1031</v>
      </c>
      <c r="B31" s="4" t="s">
        <v>11</v>
      </c>
      <c r="C31" s="4">
        <v>1</v>
      </c>
      <c r="D31" s="4">
        <v>20</v>
      </c>
      <c r="E31" s="9"/>
      <c r="F31" s="9"/>
      <c r="G31" s="9"/>
      <c r="H31" s="9"/>
      <c r="I31" s="9"/>
      <c r="J31" s="9"/>
      <c r="K31" s="10"/>
      <c r="O31" s="5" t="s">
        <v>1033</v>
      </c>
    </row>
    <row r="32" spans="1:15" x14ac:dyDescent="0.55000000000000004">
      <c r="A32" s="5" t="s">
        <v>1032</v>
      </c>
      <c r="B32" s="4" t="s">
        <v>11</v>
      </c>
      <c r="C32" s="4">
        <v>1</v>
      </c>
      <c r="D32" s="4">
        <v>20</v>
      </c>
      <c r="E32" s="9"/>
      <c r="F32" s="9"/>
      <c r="G32" s="9"/>
      <c r="H32" s="9"/>
      <c r="I32" s="9"/>
      <c r="J32" s="9"/>
      <c r="K32" s="10"/>
      <c r="O32" s="5" t="s">
        <v>1034</v>
      </c>
    </row>
    <row r="33" spans="1:17" x14ac:dyDescent="0.55000000000000004">
      <c r="A33" s="5" t="s">
        <v>1033</v>
      </c>
      <c r="B33" s="4" t="s">
        <v>11</v>
      </c>
      <c r="C33" s="4">
        <v>1</v>
      </c>
      <c r="D33" s="4">
        <v>20</v>
      </c>
      <c r="E33" s="9"/>
      <c r="F33" s="9"/>
      <c r="G33" s="9"/>
      <c r="H33" s="9"/>
      <c r="I33" s="9"/>
      <c r="J33" s="9"/>
      <c r="K33" s="10"/>
      <c r="O33" s="5" t="s">
        <v>1035</v>
      </c>
    </row>
    <row r="34" spans="1:17" x14ac:dyDescent="0.55000000000000004">
      <c r="A34" s="5" t="s">
        <v>1034</v>
      </c>
      <c r="B34" s="4" t="s">
        <v>11</v>
      </c>
      <c r="C34" s="4">
        <v>1</v>
      </c>
      <c r="D34" s="4">
        <v>20</v>
      </c>
      <c r="E34" s="9"/>
      <c r="F34" s="9"/>
      <c r="G34" s="9"/>
      <c r="H34" s="9"/>
      <c r="I34" s="9"/>
      <c r="J34" s="9"/>
      <c r="K34" s="10"/>
      <c r="O34" s="5" t="s">
        <v>1036</v>
      </c>
    </row>
    <row r="35" spans="1:17" x14ac:dyDescent="0.55000000000000004">
      <c r="A35" s="5" t="s">
        <v>1035</v>
      </c>
      <c r="B35" s="4" t="s">
        <v>2</v>
      </c>
      <c r="C35" s="4">
        <v>0.5</v>
      </c>
      <c r="D35" s="4">
        <v>10</v>
      </c>
      <c r="E35" s="9"/>
      <c r="F35" s="9"/>
      <c r="G35" s="9"/>
      <c r="H35" s="9"/>
      <c r="I35" s="9"/>
      <c r="J35" s="9"/>
      <c r="K35" s="10"/>
      <c r="O35" s="5" t="s">
        <v>1037</v>
      </c>
    </row>
    <row r="36" spans="1:17" x14ac:dyDescent="0.55000000000000004">
      <c r="A36" s="5" t="s">
        <v>1036</v>
      </c>
      <c r="B36" s="4" t="s">
        <v>11</v>
      </c>
      <c r="C36" s="4">
        <v>1</v>
      </c>
      <c r="D36" s="4">
        <v>20</v>
      </c>
      <c r="E36" s="9"/>
      <c r="F36" s="9"/>
      <c r="G36" s="9"/>
      <c r="H36" s="9"/>
      <c r="I36" s="9"/>
      <c r="J36" s="9"/>
      <c r="K36" s="10"/>
      <c r="O36" s="5" t="s">
        <v>1038</v>
      </c>
    </row>
    <row r="37" spans="1:17" x14ac:dyDescent="0.55000000000000004">
      <c r="A37" s="5" t="s">
        <v>1037</v>
      </c>
      <c r="B37" s="4" t="s">
        <v>11</v>
      </c>
      <c r="C37" s="4">
        <v>1</v>
      </c>
      <c r="D37" s="4">
        <v>20</v>
      </c>
      <c r="E37" s="9"/>
      <c r="F37" s="9"/>
      <c r="G37" s="9"/>
      <c r="H37" s="9"/>
      <c r="I37" s="9"/>
      <c r="J37" s="9"/>
      <c r="K37" s="10"/>
      <c r="O37" s="5" t="s">
        <v>1039</v>
      </c>
    </row>
    <row r="38" spans="1:17" x14ac:dyDescent="0.55000000000000004">
      <c r="A38" s="5" t="s">
        <v>1038</v>
      </c>
      <c r="B38" s="4" t="s">
        <v>11</v>
      </c>
      <c r="C38" s="4">
        <v>1</v>
      </c>
      <c r="D38" s="4">
        <v>20</v>
      </c>
      <c r="E38" s="9"/>
      <c r="F38" s="9"/>
      <c r="G38" s="9"/>
      <c r="H38" s="9"/>
      <c r="I38" s="9"/>
      <c r="J38" s="9"/>
      <c r="K38" s="10"/>
      <c r="O38" s="5" t="s">
        <v>1040</v>
      </c>
    </row>
    <row r="39" spans="1:17" x14ac:dyDescent="0.55000000000000004">
      <c r="A39" s="5" t="s">
        <v>1039</v>
      </c>
      <c r="B39" s="4" t="s">
        <v>11</v>
      </c>
      <c r="C39" s="4">
        <v>1</v>
      </c>
      <c r="D39" s="4">
        <v>20</v>
      </c>
      <c r="E39" s="9"/>
      <c r="F39" s="9"/>
      <c r="G39" s="9"/>
      <c r="H39" s="9"/>
      <c r="I39" s="9"/>
      <c r="J39" s="9"/>
      <c r="K39" s="10"/>
      <c r="L39" s="38" t="s">
        <v>1336</v>
      </c>
      <c r="O39" s="5" t="s">
        <v>1041</v>
      </c>
    </row>
    <row r="40" spans="1:17" x14ac:dyDescent="0.55000000000000004">
      <c r="A40" s="5" t="s">
        <v>1040</v>
      </c>
      <c r="B40" s="4" t="s">
        <v>11</v>
      </c>
      <c r="C40" s="4">
        <v>1</v>
      </c>
      <c r="D40" s="4">
        <v>20</v>
      </c>
      <c r="E40" s="9"/>
      <c r="F40" s="9"/>
      <c r="G40" s="9"/>
      <c r="H40" s="9"/>
      <c r="I40" s="9"/>
      <c r="J40" s="9"/>
      <c r="K40" s="10"/>
      <c r="L40" s="38" t="s">
        <v>1337</v>
      </c>
      <c r="O40" s="5" t="s">
        <v>1042</v>
      </c>
    </row>
    <row r="41" spans="1:17" x14ac:dyDescent="0.55000000000000004">
      <c r="A41" s="5" t="s">
        <v>1041</v>
      </c>
      <c r="B41" s="4" t="s">
        <v>11</v>
      </c>
      <c r="C41" s="4">
        <v>1</v>
      </c>
      <c r="D41" s="4">
        <v>20</v>
      </c>
      <c r="E41" s="9"/>
      <c r="F41" s="9"/>
      <c r="G41" s="9"/>
      <c r="H41" s="9"/>
      <c r="I41" s="9"/>
      <c r="J41" s="9"/>
      <c r="K41" s="10"/>
      <c r="O41" s="5" t="s">
        <v>1043</v>
      </c>
    </row>
    <row r="42" spans="1:17" x14ac:dyDescent="0.55000000000000004">
      <c r="A42" s="5" t="s">
        <v>1042</v>
      </c>
      <c r="B42" s="4" t="s">
        <v>11</v>
      </c>
      <c r="C42" s="4">
        <v>1</v>
      </c>
      <c r="D42" s="4">
        <v>20</v>
      </c>
      <c r="E42" s="9"/>
      <c r="F42" s="9"/>
      <c r="G42" s="9"/>
      <c r="H42" s="9"/>
      <c r="I42" s="9"/>
      <c r="J42" s="9"/>
      <c r="K42" s="10"/>
      <c r="L42" t="s">
        <v>1599</v>
      </c>
      <c r="O42" s="5" t="s">
        <v>1044</v>
      </c>
    </row>
    <row r="43" spans="1:17" x14ac:dyDescent="0.55000000000000004">
      <c r="A43" s="5" t="s">
        <v>1043</v>
      </c>
      <c r="B43" s="4" t="s">
        <v>11</v>
      </c>
      <c r="C43" s="4">
        <v>1</v>
      </c>
      <c r="D43" s="4">
        <v>20</v>
      </c>
      <c r="E43" s="9"/>
      <c r="F43" s="9"/>
      <c r="G43" s="9"/>
      <c r="H43" s="9"/>
      <c r="I43" s="9"/>
      <c r="J43" s="9"/>
      <c r="K43" s="10"/>
      <c r="L43">
        <v>27</v>
      </c>
      <c r="O43" s="5" t="s">
        <v>1045</v>
      </c>
    </row>
    <row r="44" spans="1:17" x14ac:dyDescent="0.55000000000000004">
      <c r="A44" s="5" t="s">
        <v>1044</v>
      </c>
      <c r="B44" s="4" t="s">
        <v>11</v>
      </c>
      <c r="C44" s="4">
        <v>1</v>
      </c>
      <c r="D44" s="4">
        <v>20</v>
      </c>
      <c r="E44" s="9"/>
      <c r="F44" s="9"/>
      <c r="G44" s="9"/>
      <c r="H44" s="9"/>
      <c r="I44" s="9"/>
      <c r="J44" s="9"/>
      <c r="K44" s="10"/>
      <c r="O44" s="5" t="s">
        <v>1046</v>
      </c>
    </row>
    <row r="45" spans="1:17" x14ac:dyDescent="0.55000000000000004">
      <c r="A45" s="5" t="s">
        <v>1045</v>
      </c>
      <c r="B45" s="4" t="s">
        <v>11</v>
      </c>
      <c r="C45" s="4">
        <v>1</v>
      </c>
      <c r="D45" s="4">
        <v>20</v>
      </c>
      <c r="E45" s="9"/>
      <c r="F45" s="9"/>
      <c r="G45" s="9"/>
      <c r="H45" s="9"/>
      <c r="I45" s="9"/>
      <c r="J45" s="9"/>
      <c r="K45" s="10"/>
      <c r="O45" s="5" t="s">
        <v>1626</v>
      </c>
      <c r="P45" s="5" t="s">
        <v>2230</v>
      </c>
      <c r="Q45" s="5" t="s">
        <v>982</v>
      </c>
    </row>
    <row r="46" spans="1:17" x14ac:dyDescent="0.55000000000000004">
      <c r="A46" s="5" t="s">
        <v>1046</v>
      </c>
      <c r="B46" s="4" t="s">
        <v>11</v>
      </c>
      <c r="C46" s="4">
        <v>1</v>
      </c>
      <c r="D46" s="4">
        <v>20</v>
      </c>
      <c r="E46" s="9"/>
      <c r="F46" s="9"/>
      <c r="G46" s="9"/>
      <c r="H46" s="9"/>
      <c r="I46" s="9"/>
      <c r="J46" s="9"/>
      <c r="K46" s="10"/>
      <c r="O46" s="5" t="s">
        <v>1627</v>
      </c>
      <c r="P46" s="5" t="s">
        <v>2227</v>
      </c>
      <c r="Q46" s="5" t="s">
        <v>982</v>
      </c>
    </row>
    <row r="47" spans="1:17" x14ac:dyDescent="0.55000000000000004">
      <c r="A47" s="5" t="s">
        <v>1626</v>
      </c>
      <c r="B47" s="4" t="s">
        <v>11</v>
      </c>
      <c r="C47" s="4">
        <v>1</v>
      </c>
      <c r="D47" s="4">
        <v>20</v>
      </c>
      <c r="E47" s="9"/>
      <c r="F47" s="9"/>
      <c r="G47" s="9"/>
      <c r="H47" s="9"/>
      <c r="I47" s="9"/>
      <c r="J47" s="9"/>
      <c r="K47" s="10"/>
      <c r="O47" s="5" t="s">
        <v>1628</v>
      </c>
      <c r="P47" s="5" t="s">
        <v>2228</v>
      </c>
      <c r="Q47" s="5" t="s">
        <v>982</v>
      </c>
    </row>
    <row r="48" spans="1:17" x14ac:dyDescent="0.55000000000000004">
      <c r="A48" s="5" t="s">
        <v>1627</v>
      </c>
      <c r="B48" s="4" t="s">
        <v>11</v>
      </c>
      <c r="C48" s="4">
        <v>1</v>
      </c>
      <c r="D48" s="4">
        <v>20</v>
      </c>
      <c r="E48" s="9"/>
      <c r="F48" s="9"/>
      <c r="G48" s="9"/>
      <c r="H48" s="9"/>
      <c r="I48" s="9"/>
      <c r="J48" s="9"/>
      <c r="K48" s="10"/>
      <c r="O48" s="5" t="s">
        <v>1629</v>
      </c>
      <c r="P48" s="5" t="s">
        <v>2229</v>
      </c>
      <c r="Q48" s="5" t="s">
        <v>982</v>
      </c>
    </row>
    <row r="49" spans="1:15" x14ac:dyDescent="0.55000000000000004">
      <c r="A49" s="5" t="s">
        <v>1628</v>
      </c>
      <c r="B49" s="4" t="s">
        <v>11</v>
      </c>
      <c r="C49" s="4">
        <v>1</v>
      </c>
      <c r="D49" s="4">
        <v>20</v>
      </c>
      <c r="E49" s="9"/>
      <c r="F49" s="9"/>
      <c r="G49" s="9"/>
      <c r="H49" s="9"/>
      <c r="I49" s="9"/>
      <c r="J49" s="9"/>
      <c r="K49" s="10"/>
      <c r="O49" s="4" t="s">
        <v>458</v>
      </c>
    </row>
    <row r="50" spans="1:15" x14ac:dyDescent="0.55000000000000004">
      <c r="A50" s="5" t="s">
        <v>1629</v>
      </c>
      <c r="B50" s="4" t="s">
        <v>11</v>
      </c>
      <c r="C50" s="4">
        <v>1</v>
      </c>
      <c r="D50" s="4">
        <v>20</v>
      </c>
      <c r="E50" s="9"/>
      <c r="F50" s="9"/>
      <c r="G50" s="9"/>
      <c r="H50" s="9"/>
      <c r="I50" s="9"/>
      <c r="J50" s="9"/>
      <c r="K50" s="10"/>
      <c r="O50" s="4" t="s">
        <v>520</v>
      </c>
    </row>
    <row r="51" spans="1:15" x14ac:dyDescent="0.55000000000000004">
      <c r="A51" s="10"/>
      <c r="B51" s="10"/>
      <c r="C51" s="10"/>
      <c r="D51" s="10"/>
      <c r="E51" s="9"/>
      <c r="F51" s="9"/>
      <c r="G51" s="9"/>
      <c r="H51" s="9"/>
      <c r="I51" s="9"/>
      <c r="J51" s="9"/>
      <c r="K51" s="10"/>
      <c r="O51" s="5" t="s">
        <v>1047</v>
      </c>
    </row>
    <row r="52" spans="1:15" x14ac:dyDescent="0.55000000000000004">
      <c r="A52" s="9" t="s">
        <v>1335</v>
      </c>
      <c r="B52" s="9" t="s">
        <v>1331</v>
      </c>
      <c r="C52" s="9" t="s">
        <v>1332</v>
      </c>
      <c r="D52" s="9" t="s">
        <v>1333</v>
      </c>
      <c r="E52" s="9"/>
      <c r="F52" s="9"/>
      <c r="G52" s="9"/>
      <c r="H52" s="9"/>
      <c r="I52" s="9"/>
      <c r="J52" s="9"/>
      <c r="K52" s="10"/>
      <c r="O52" s="5" t="s">
        <v>1049</v>
      </c>
    </row>
    <row r="53" spans="1:15" x14ac:dyDescent="0.55000000000000004">
      <c r="A53" s="5" t="s">
        <v>1047</v>
      </c>
      <c r="B53" s="4" t="s">
        <v>11</v>
      </c>
      <c r="C53" s="4">
        <v>1</v>
      </c>
      <c r="D53" s="4">
        <v>20</v>
      </c>
      <c r="E53" s="9"/>
      <c r="F53" s="9"/>
      <c r="G53" s="9"/>
      <c r="H53" s="9"/>
      <c r="I53" s="9"/>
      <c r="J53" s="9"/>
      <c r="K53" s="10"/>
      <c r="O53" s="5" t="s">
        <v>1051</v>
      </c>
    </row>
    <row r="54" spans="1:15" x14ac:dyDescent="0.55000000000000004">
      <c r="A54" s="5" t="s">
        <v>1049</v>
      </c>
      <c r="B54" s="4" t="s">
        <v>11</v>
      </c>
      <c r="C54" s="4">
        <v>1</v>
      </c>
      <c r="D54" s="4">
        <v>20</v>
      </c>
      <c r="E54" s="9"/>
      <c r="F54" s="9"/>
      <c r="G54" s="9"/>
      <c r="H54" s="9"/>
      <c r="I54" s="9"/>
      <c r="J54" s="9"/>
      <c r="K54" s="10"/>
      <c r="O54" s="5" t="s">
        <v>1053</v>
      </c>
    </row>
    <row r="55" spans="1:15" x14ac:dyDescent="0.55000000000000004">
      <c r="A55" s="5" t="s">
        <v>1051</v>
      </c>
      <c r="B55" s="4" t="s">
        <v>11</v>
      </c>
      <c r="C55" s="4">
        <v>1</v>
      </c>
      <c r="D55" s="4">
        <v>20</v>
      </c>
      <c r="E55" s="9"/>
      <c r="F55" s="9"/>
      <c r="G55" s="9"/>
      <c r="H55" s="9"/>
      <c r="I55" s="9"/>
      <c r="J55" s="9"/>
      <c r="K55" s="10"/>
      <c r="O55" s="5" t="s">
        <v>1055</v>
      </c>
    </row>
    <row r="56" spans="1:15" x14ac:dyDescent="0.55000000000000004">
      <c r="A56" s="5" t="s">
        <v>1053</v>
      </c>
      <c r="B56" s="4" t="s">
        <v>11</v>
      </c>
      <c r="C56" s="4">
        <v>1</v>
      </c>
      <c r="D56" s="4">
        <v>20</v>
      </c>
      <c r="E56" s="9"/>
      <c r="F56" s="9"/>
      <c r="G56" s="9"/>
      <c r="H56" s="9"/>
      <c r="I56" s="9"/>
      <c r="J56" s="9"/>
      <c r="K56" s="10"/>
      <c r="O56" s="5" t="s">
        <v>1057</v>
      </c>
    </row>
    <row r="57" spans="1:15" x14ac:dyDescent="0.55000000000000004">
      <c r="A57" s="5" t="s">
        <v>1055</v>
      </c>
      <c r="B57" s="4" t="s">
        <v>11</v>
      </c>
      <c r="C57" s="4">
        <v>1</v>
      </c>
      <c r="D57" s="4">
        <v>20</v>
      </c>
      <c r="E57" s="9"/>
      <c r="F57" s="9"/>
      <c r="G57" s="9"/>
      <c r="H57" s="9"/>
      <c r="I57" s="9"/>
      <c r="J57" s="9"/>
      <c r="K57" s="10"/>
      <c r="O57" s="5" t="s">
        <v>1058</v>
      </c>
    </row>
    <row r="58" spans="1:15" x14ac:dyDescent="0.55000000000000004">
      <c r="A58" s="5" t="s">
        <v>1057</v>
      </c>
      <c r="B58" s="4" t="s">
        <v>11</v>
      </c>
      <c r="C58" s="4">
        <v>1</v>
      </c>
      <c r="D58" s="4">
        <v>20</v>
      </c>
      <c r="E58" s="9"/>
      <c r="F58" s="9"/>
      <c r="G58" s="9"/>
      <c r="H58" s="9"/>
      <c r="I58" s="9"/>
      <c r="J58" s="9"/>
      <c r="K58" s="10"/>
      <c r="O58" s="5" t="s">
        <v>1059</v>
      </c>
    </row>
    <row r="59" spans="1:15" x14ac:dyDescent="0.55000000000000004">
      <c r="A59" s="5" t="s">
        <v>1058</v>
      </c>
      <c r="B59" s="4" t="s">
        <v>2</v>
      </c>
      <c r="C59" s="4">
        <v>0.05</v>
      </c>
      <c r="D59" s="4">
        <v>1</v>
      </c>
      <c r="E59" s="9"/>
      <c r="F59" s="9"/>
      <c r="G59" s="9"/>
      <c r="H59" s="9"/>
      <c r="I59" s="9"/>
      <c r="J59" s="9"/>
      <c r="K59" s="10"/>
      <c r="O59" s="5" t="s">
        <v>1494</v>
      </c>
    </row>
    <row r="60" spans="1:15" x14ac:dyDescent="0.55000000000000004">
      <c r="A60" s="5" t="s">
        <v>1059</v>
      </c>
      <c r="B60" s="4" t="s">
        <v>2</v>
      </c>
      <c r="C60" s="4">
        <v>0.05</v>
      </c>
      <c r="D60" s="4">
        <v>1</v>
      </c>
      <c r="E60" s="9"/>
      <c r="F60" s="9"/>
      <c r="G60" s="9"/>
      <c r="H60" s="9"/>
      <c r="I60" s="9"/>
      <c r="J60" s="9"/>
      <c r="K60" s="10"/>
      <c r="O60" s="5" t="s">
        <v>1060</v>
      </c>
    </row>
    <row r="61" spans="1:15" x14ac:dyDescent="0.55000000000000004">
      <c r="A61" s="5" t="s">
        <v>1494</v>
      </c>
      <c r="B61" s="4" t="s">
        <v>2</v>
      </c>
      <c r="C61" s="4">
        <v>0.05</v>
      </c>
      <c r="D61" s="4">
        <v>1</v>
      </c>
      <c r="E61" s="9"/>
      <c r="F61" s="9"/>
      <c r="G61" s="9"/>
      <c r="H61" s="9"/>
      <c r="I61" s="9"/>
      <c r="J61" s="9"/>
      <c r="K61" s="10"/>
      <c r="O61" s="5" t="s">
        <v>1061</v>
      </c>
    </row>
    <row r="62" spans="1:15" x14ac:dyDescent="0.55000000000000004">
      <c r="A62" s="5" t="s">
        <v>1060</v>
      </c>
      <c r="B62" s="4" t="s">
        <v>11</v>
      </c>
      <c r="C62" s="4">
        <v>1</v>
      </c>
      <c r="D62" s="4">
        <v>20</v>
      </c>
      <c r="E62" s="9"/>
      <c r="F62" s="9"/>
      <c r="G62" s="9"/>
      <c r="H62" s="9"/>
      <c r="I62" s="9"/>
      <c r="J62" s="9"/>
      <c r="K62" s="10"/>
      <c r="O62" s="5" t="s">
        <v>1062</v>
      </c>
    </row>
    <row r="63" spans="1:15" x14ac:dyDescent="0.55000000000000004">
      <c r="A63" s="5" t="s">
        <v>1061</v>
      </c>
      <c r="B63" s="4" t="s">
        <v>11</v>
      </c>
      <c r="C63" s="4">
        <v>1</v>
      </c>
      <c r="D63" s="4">
        <v>20</v>
      </c>
      <c r="E63" s="9"/>
      <c r="F63" s="9"/>
      <c r="G63" s="9"/>
      <c r="H63" s="9"/>
      <c r="I63" s="9"/>
      <c r="J63" s="9"/>
      <c r="K63" s="10"/>
      <c r="O63" s="5" t="s">
        <v>1063</v>
      </c>
    </row>
    <row r="64" spans="1:15" x14ac:dyDescent="0.55000000000000004">
      <c r="A64" s="5" t="s">
        <v>1062</v>
      </c>
      <c r="B64" s="4" t="s">
        <v>11</v>
      </c>
      <c r="C64" s="4">
        <v>1</v>
      </c>
      <c r="D64" s="4">
        <v>20</v>
      </c>
      <c r="E64" s="9"/>
      <c r="F64" s="9"/>
      <c r="G64" s="9"/>
      <c r="H64" s="9"/>
      <c r="I64" s="9"/>
      <c r="J64" s="9"/>
      <c r="K64" s="10"/>
      <c r="O64" s="5" t="s">
        <v>1064</v>
      </c>
    </row>
    <row r="65" spans="1:15" x14ac:dyDescent="0.55000000000000004">
      <c r="A65" s="5" t="s">
        <v>1063</v>
      </c>
      <c r="B65" s="4" t="s">
        <v>11</v>
      </c>
      <c r="C65" s="4">
        <v>1</v>
      </c>
      <c r="D65" s="4">
        <v>20</v>
      </c>
      <c r="E65" s="9"/>
      <c r="F65" s="9"/>
      <c r="G65" s="9"/>
      <c r="H65" s="9"/>
      <c r="I65" s="9"/>
      <c r="J65" s="9"/>
      <c r="K65" s="10"/>
      <c r="O65" s="5" t="s">
        <v>1065</v>
      </c>
    </row>
    <row r="66" spans="1:15" x14ac:dyDescent="0.55000000000000004">
      <c r="A66" s="5" t="s">
        <v>1064</v>
      </c>
      <c r="B66" s="4" t="s">
        <v>11</v>
      </c>
      <c r="C66" s="4">
        <v>1</v>
      </c>
      <c r="D66" s="4">
        <v>20</v>
      </c>
      <c r="E66" s="9"/>
      <c r="F66" s="9"/>
      <c r="G66" s="9"/>
      <c r="H66" s="9"/>
      <c r="I66" s="9"/>
      <c r="J66" s="9"/>
      <c r="K66" s="10"/>
      <c r="O66" s="5" t="s">
        <v>1066</v>
      </c>
    </row>
    <row r="67" spans="1:15" x14ac:dyDescent="0.55000000000000004">
      <c r="A67" s="5" t="s">
        <v>1065</v>
      </c>
      <c r="B67" s="4" t="s">
        <v>11</v>
      </c>
      <c r="C67" s="4">
        <v>1</v>
      </c>
      <c r="D67" s="4">
        <v>20</v>
      </c>
      <c r="E67" s="9"/>
      <c r="F67" s="9"/>
      <c r="G67" s="9"/>
      <c r="H67" s="9"/>
      <c r="I67" s="9"/>
      <c r="J67" s="9"/>
      <c r="K67" s="10"/>
      <c r="O67" s="5" t="s">
        <v>1067</v>
      </c>
    </row>
    <row r="68" spans="1:15" x14ac:dyDescent="0.55000000000000004">
      <c r="A68" s="5" t="s">
        <v>1066</v>
      </c>
      <c r="B68" s="4" t="s">
        <v>11</v>
      </c>
      <c r="C68" s="4">
        <v>1</v>
      </c>
      <c r="D68" s="4">
        <v>20</v>
      </c>
      <c r="E68" s="9"/>
      <c r="F68" s="9"/>
      <c r="G68" s="9"/>
      <c r="H68" s="9"/>
      <c r="I68" s="9"/>
      <c r="J68" s="9"/>
      <c r="K68" s="10"/>
      <c r="O68" s="5" t="s">
        <v>1545</v>
      </c>
    </row>
    <row r="69" spans="1:15" x14ac:dyDescent="0.55000000000000004">
      <c r="A69" s="5" t="s">
        <v>1067</v>
      </c>
      <c r="B69" s="4" t="s">
        <v>11</v>
      </c>
      <c r="C69" s="4">
        <v>1</v>
      </c>
      <c r="D69" s="4">
        <v>20</v>
      </c>
      <c r="E69" s="9"/>
      <c r="F69" s="9"/>
      <c r="G69" s="9"/>
      <c r="H69" s="9"/>
      <c r="I69" s="9"/>
      <c r="J69" s="9"/>
      <c r="K69" s="10"/>
      <c r="O69" s="32" t="s">
        <v>1546</v>
      </c>
    </row>
    <row r="70" spans="1:15" x14ac:dyDescent="0.55000000000000004">
      <c r="A70" s="5" t="s">
        <v>1545</v>
      </c>
      <c r="B70" s="4" t="s">
        <v>11</v>
      </c>
      <c r="C70" s="4">
        <v>1</v>
      </c>
      <c r="D70" s="4">
        <v>20</v>
      </c>
      <c r="E70" s="9"/>
      <c r="F70" s="9"/>
      <c r="G70" s="9"/>
      <c r="H70" s="9"/>
      <c r="I70" s="9"/>
      <c r="J70" s="9"/>
      <c r="K70" s="10"/>
      <c r="O70" s="5" t="s">
        <v>1068</v>
      </c>
    </row>
    <row r="71" spans="1:15" x14ac:dyDescent="0.55000000000000004">
      <c r="A71" s="32" t="s">
        <v>1546</v>
      </c>
      <c r="B71" s="4" t="s">
        <v>11</v>
      </c>
      <c r="C71" s="4">
        <v>1</v>
      </c>
      <c r="D71" s="4">
        <v>20</v>
      </c>
      <c r="E71" s="9"/>
      <c r="F71" s="9"/>
      <c r="G71" s="9"/>
      <c r="H71" s="9"/>
      <c r="I71" s="9"/>
      <c r="J71" s="9"/>
      <c r="K71" s="10"/>
      <c r="O71" s="5" t="s">
        <v>1069</v>
      </c>
    </row>
    <row r="72" spans="1:15" x14ac:dyDescent="0.55000000000000004">
      <c r="A72" s="5" t="s">
        <v>1068</v>
      </c>
      <c r="B72" s="4" t="s">
        <v>11</v>
      </c>
      <c r="C72" s="4">
        <v>1</v>
      </c>
      <c r="D72" s="4">
        <v>20</v>
      </c>
      <c r="E72" s="9"/>
      <c r="F72" s="9"/>
      <c r="G72" s="9"/>
      <c r="H72" s="9"/>
      <c r="I72" s="9"/>
      <c r="J72" s="9"/>
      <c r="K72" s="10"/>
      <c r="O72" s="5" t="s">
        <v>1070</v>
      </c>
    </row>
    <row r="73" spans="1:15" x14ac:dyDescent="0.55000000000000004">
      <c r="A73" s="5" t="s">
        <v>1069</v>
      </c>
      <c r="B73" s="4" t="s">
        <v>11</v>
      </c>
      <c r="C73" s="4">
        <v>1</v>
      </c>
      <c r="D73" s="4">
        <v>20</v>
      </c>
      <c r="E73" s="9"/>
      <c r="F73" s="9"/>
      <c r="G73" s="9"/>
      <c r="H73" s="9"/>
      <c r="I73" s="9"/>
      <c r="J73" s="9"/>
      <c r="K73" s="10"/>
      <c r="O73" s="5" t="s">
        <v>1071</v>
      </c>
    </row>
    <row r="74" spans="1:15" x14ac:dyDescent="0.55000000000000004">
      <c r="A74" s="5" t="s">
        <v>1070</v>
      </c>
      <c r="B74" s="4" t="s">
        <v>11</v>
      </c>
      <c r="C74" s="4">
        <v>1</v>
      </c>
      <c r="D74" s="4">
        <v>20</v>
      </c>
      <c r="E74" s="9"/>
      <c r="F74" s="9"/>
      <c r="G74" s="9"/>
      <c r="H74" s="9"/>
      <c r="I74" s="9"/>
      <c r="J74" s="9"/>
      <c r="K74" s="10"/>
      <c r="O74" s="5" t="s">
        <v>1072</v>
      </c>
    </row>
    <row r="75" spans="1:15" x14ac:dyDescent="0.55000000000000004">
      <c r="A75" s="5" t="s">
        <v>1071</v>
      </c>
      <c r="B75" s="4" t="s">
        <v>11</v>
      </c>
      <c r="C75" s="4">
        <v>1</v>
      </c>
      <c r="D75" s="4">
        <v>20</v>
      </c>
      <c r="E75" s="9"/>
      <c r="F75" s="9"/>
      <c r="G75" s="9"/>
      <c r="H75" s="9"/>
      <c r="I75" s="9"/>
      <c r="J75" s="9"/>
      <c r="K75" s="10"/>
      <c r="O75" s="5" t="s">
        <v>1073</v>
      </c>
    </row>
    <row r="76" spans="1:15" x14ac:dyDescent="0.55000000000000004">
      <c r="A76" s="5" t="s">
        <v>1072</v>
      </c>
      <c r="B76" s="4" t="s">
        <v>11</v>
      </c>
      <c r="C76" s="4">
        <v>1</v>
      </c>
      <c r="D76" s="4">
        <v>20</v>
      </c>
      <c r="E76" s="9"/>
      <c r="F76" s="9"/>
      <c r="G76" s="9"/>
      <c r="H76" s="9"/>
      <c r="I76" s="9"/>
      <c r="J76" s="9"/>
      <c r="K76" s="10"/>
      <c r="O76" s="5" t="s">
        <v>1074</v>
      </c>
    </row>
    <row r="77" spans="1:15" x14ac:dyDescent="0.55000000000000004">
      <c r="A77" s="5" t="s">
        <v>1073</v>
      </c>
      <c r="B77" s="4" t="s">
        <v>11</v>
      </c>
      <c r="C77" s="4">
        <v>1</v>
      </c>
      <c r="D77" s="4">
        <v>20</v>
      </c>
      <c r="E77" s="9"/>
      <c r="F77" s="9"/>
      <c r="G77" s="9"/>
      <c r="H77" s="9"/>
      <c r="I77" s="9"/>
      <c r="J77" s="9"/>
      <c r="K77" s="10"/>
      <c r="O77" s="5" t="s">
        <v>1548</v>
      </c>
    </row>
    <row r="78" spans="1:15" x14ac:dyDescent="0.55000000000000004">
      <c r="A78" s="5" t="s">
        <v>1074</v>
      </c>
      <c r="B78" s="4" t="s">
        <v>11</v>
      </c>
      <c r="C78" s="4">
        <v>1</v>
      </c>
      <c r="D78" s="4">
        <v>20</v>
      </c>
      <c r="E78" s="9"/>
      <c r="F78" s="9"/>
      <c r="G78" s="9"/>
      <c r="H78" s="9"/>
      <c r="I78" s="9"/>
      <c r="J78" s="9"/>
      <c r="K78" s="10"/>
    </row>
    <row r="79" spans="1:15" x14ac:dyDescent="0.55000000000000004">
      <c r="A79" s="5" t="s">
        <v>1548</v>
      </c>
      <c r="B79" s="4" t="s">
        <v>11</v>
      </c>
      <c r="C79" s="4">
        <v>1</v>
      </c>
      <c r="D79" s="4">
        <v>20</v>
      </c>
      <c r="E79" s="9"/>
      <c r="F79" s="9"/>
      <c r="G79" s="9"/>
      <c r="H79" s="9"/>
      <c r="I79" s="9"/>
      <c r="J79" s="9"/>
      <c r="K79" s="10"/>
    </row>
  </sheetData>
  <hyperlinks>
    <hyperlink ref="M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567690</xdr:colOff>
                    <xdr:row>7</xdr:row>
                    <xdr:rowOff>137160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90" zoomScaleNormal="90" workbookViewId="0">
      <selection activeCell="X3" sqref="X3"/>
    </sheetView>
  </sheetViews>
  <sheetFormatPr defaultRowHeight="14.4" x14ac:dyDescent="0.55000000000000004"/>
  <sheetData>
    <row r="1" spans="1:24" x14ac:dyDescent="0.55000000000000004">
      <c r="A1" s="39" t="s">
        <v>1341</v>
      </c>
      <c r="B1" s="39"/>
      <c r="C1" s="39"/>
      <c r="D1" s="39"/>
      <c r="E1" s="39"/>
      <c r="F1" s="39"/>
      <c r="G1" s="39"/>
      <c r="H1" s="39"/>
      <c r="I1" s="39"/>
      <c r="J1" s="39"/>
      <c r="K1" s="39"/>
      <c r="L1" s="39"/>
      <c r="M1" s="39"/>
      <c r="N1" s="39"/>
      <c r="O1" s="39"/>
      <c r="P1" s="39"/>
      <c r="Q1" s="39"/>
      <c r="R1" s="39"/>
      <c r="S1" s="39"/>
    </row>
    <row r="2" spans="1:24" x14ac:dyDescent="0.55000000000000004">
      <c r="A2" s="39" t="s">
        <v>1342</v>
      </c>
      <c r="B2" s="39"/>
      <c r="C2" s="39"/>
      <c r="D2" s="39"/>
      <c r="E2" s="39"/>
      <c r="F2" s="39"/>
      <c r="G2" s="39"/>
      <c r="H2" s="39"/>
      <c r="I2" s="39"/>
      <c r="J2" s="39"/>
      <c r="K2" s="39"/>
      <c r="L2" s="39"/>
      <c r="M2" s="39"/>
      <c r="N2" s="39"/>
      <c r="O2" s="39"/>
      <c r="P2" s="39"/>
      <c r="Q2" s="39"/>
      <c r="R2" s="39"/>
      <c r="S2" s="39"/>
      <c r="X2" t="s">
        <v>1614</v>
      </c>
    </row>
    <row r="3" spans="1:24" x14ac:dyDescent="0.55000000000000004">
      <c r="A3" s="39" t="s">
        <v>1382</v>
      </c>
      <c r="B3" s="39" t="s">
        <v>1383</v>
      </c>
      <c r="C3" s="39"/>
      <c r="D3" s="39"/>
      <c r="E3" s="39"/>
      <c r="F3" s="39"/>
      <c r="G3" s="39"/>
      <c r="H3" s="39"/>
      <c r="I3" s="39"/>
      <c r="J3" s="39"/>
      <c r="K3" s="39"/>
      <c r="L3" s="39"/>
      <c r="M3" s="39"/>
      <c r="N3" s="39"/>
      <c r="O3" s="39"/>
      <c r="P3" s="39"/>
      <c r="Q3" s="39"/>
      <c r="R3" s="39"/>
      <c r="S3" s="39"/>
      <c r="X3" s="66" t="s">
        <v>1613</v>
      </c>
    </row>
    <row r="4" spans="1:24" x14ac:dyDescent="0.55000000000000004">
      <c r="A4" s="40"/>
      <c r="B4" s="5">
        <v>0.125</v>
      </c>
      <c r="C4" s="39"/>
      <c r="D4" s="39"/>
      <c r="E4" s="39"/>
      <c r="F4" s="39"/>
      <c r="G4" s="39"/>
      <c r="H4" s="39"/>
      <c r="I4" s="39"/>
      <c r="J4" s="39"/>
      <c r="K4" s="39"/>
      <c r="L4" s="39"/>
      <c r="M4" s="39"/>
      <c r="N4" s="39"/>
      <c r="O4" s="39"/>
      <c r="P4" s="39"/>
      <c r="Q4" s="39"/>
      <c r="R4" s="39"/>
      <c r="S4" s="39"/>
    </row>
    <row r="5" spans="1:24" x14ac:dyDescent="0.55000000000000004">
      <c r="A5" s="39" t="s">
        <v>1343</v>
      </c>
      <c r="B5" s="39"/>
      <c r="C5" s="39"/>
      <c r="D5" s="39"/>
      <c r="E5" s="39"/>
      <c r="F5" s="39"/>
      <c r="G5" s="39"/>
      <c r="H5" s="39"/>
      <c r="I5" s="39"/>
      <c r="J5" s="39"/>
      <c r="K5" s="39"/>
      <c r="L5" s="39"/>
      <c r="M5" s="39"/>
      <c r="N5" s="39"/>
      <c r="O5" s="39"/>
      <c r="P5" s="39"/>
      <c r="Q5" s="39"/>
      <c r="R5" s="39"/>
      <c r="S5" s="39"/>
    </row>
    <row r="6" spans="1:24" x14ac:dyDescent="0.55000000000000004">
      <c r="A6" s="40" t="s">
        <v>1344</v>
      </c>
      <c r="B6" s="40" t="s">
        <v>1345</v>
      </c>
      <c r="C6" s="40" t="s">
        <v>1346</v>
      </c>
      <c r="D6" s="40" t="s">
        <v>1347</v>
      </c>
      <c r="E6" s="39"/>
      <c r="F6" s="39"/>
      <c r="G6" s="39"/>
      <c r="H6" s="39"/>
      <c r="I6" s="39"/>
      <c r="J6" s="39"/>
      <c r="K6" s="39"/>
      <c r="L6" s="39"/>
      <c r="M6" s="39"/>
      <c r="N6" s="39"/>
      <c r="O6" s="39"/>
      <c r="P6" s="39"/>
      <c r="Q6" s="39"/>
      <c r="R6" s="39"/>
      <c r="S6" s="39"/>
    </row>
    <row r="7" spans="1:24" x14ac:dyDescent="0.55000000000000004">
      <c r="A7" s="40"/>
      <c r="B7" s="5" t="s">
        <v>2</v>
      </c>
      <c r="C7" s="5">
        <v>4</v>
      </c>
      <c r="D7" s="5">
        <v>1</v>
      </c>
      <c r="E7" s="39"/>
      <c r="F7" s="39"/>
      <c r="G7" s="39"/>
      <c r="H7" s="39"/>
      <c r="I7" s="39"/>
      <c r="J7" s="39"/>
      <c r="K7" s="39"/>
      <c r="L7" s="39"/>
      <c r="M7" s="39"/>
      <c r="N7" s="39"/>
      <c r="O7" s="39"/>
      <c r="P7" s="39"/>
      <c r="Q7" s="39"/>
      <c r="R7" s="39"/>
      <c r="S7" s="39"/>
    </row>
    <row r="8" spans="1:24" x14ac:dyDescent="0.55000000000000004">
      <c r="A8" s="39"/>
      <c r="B8" s="39"/>
      <c r="C8" s="39"/>
      <c r="D8" s="39"/>
      <c r="E8" s="39"/>
      <c r="F8" s="39"/>
      <c r="G8" s="39"/>
      <c r="H8" s="39"/>
      <c r="I8" s="39"/>
      <c r="J8" s="39"/>
      <c r="K8" s="39"/>
      <c r="L8" s="39"/>
      <c r="M8" s="39"/>
      <c r="N8" s="39"/>
      <c r="O8" s="39"/>
      <c r="P8" s="39"/>
      <c r="Q8" s="39"/>
      <c r="R8" s="39"/>
      <c r="S8" s="39"/>
    </row>
    <row r="9" spans="1:24" x14ac:dyDescent="0.55000000000000004">
      <c r="A9" s="40" t="s">
        <v>1348</v>
      </c>
      <c r="B9" s="40" t="s">
        <v>1349</v>
      </c>
      <c r="C9" s="40" t="s">
        <v>1350</v>
      </c>
      <c r="D9" s="40" t="s">
        <v>1351</v>
      </c>
      <c r="E9" s="40" t="s">
        <v>1352</v>
      </c>
      <c r="F9" s="40" t="s">
        <v>1353</v>
      </c>
      <c r="G9" s="40" t="s">
        <v>1354</v>
      </c>
      <c r="H9" s="40" t="s">
        <v>1323</v>
      </c>
      <c r="I9" s="40" t="s">
        <v>1355</v>
      </c>
      <c r="J9" s="40" t="s">
        <v>1356</v>
      </c>
      <c r="K9" s="40" t="s">
        <v>1357</v>
      </c>
      <c r="L9" s="40" t="s">
        <v>1358</v>
      </c>
      <c r="M9" s="40" t="s">
        <v>1359</v>
      </c>
      <c r="N9" s="39" t="s">
        <v>1360</v>
      </c>
      <c r="O9" s="39" t="s">
        <v>1361</v>
      </c>
      <c r="P9" s="39" t="s">
        <v>1362</v>
      </c>
      <c r="Q9" s="39" t="s">
        <v>1363</v>
      </c>
      <c r="R9" s="39" t="s">
        <v>1364</v>
      </c>
      <c r="S9" s="39" t="s">
        <v>1365</v>
      </c>
    </row>
    <row r="10" spans="1:24" x14ac:dyDescent="0.55000000000000004">
      <c r="A10" s="40">
        <v>1</v>
      </c>
      <c r="B10" s="5" t="s">
        <v>34</v>
      </c>
      <c r="C10" s="5">
        <v>1</v>
      </c>
      <c r="D10" s="5">
        <v>1</v>
      </c>
      <c r="E10" s="5" t="s">
        <v>2</v>
      </c>
      <c r="F10" s="5">
        <v>1</v>
      </c>
      <c r="G10" s="5">
        <v>151</v>
      </c>
      <c r="H10" s="5">
        <v>5</v>
      </c>
      <c r="I10" s="5">
        <v>2</v>
      </c>
      <c r="J10" s="5">
        <v>115</v>
      </c>
      <c r="K10" s="5">
        <v>110</v>
      </c>
      <c r="L10" s="5"/>
      <c r="M10" s="5"/>
      <c r="N10" s="1"/>
      <c r="O10" s="1"/>
      <c r="P10" s="1"/>
      <c r="Q10" s="1"/>
      <c r="R10" s="1"/>
      <c r="S10" s="1"/>
    </row>
    <row r="11" spans="1:24" x14ac:dyDescent="0.55000000000000004">
      <c r="A11" s="40">
        <v>2</v>
      </c>
      <c r="B11" s="5" t="s">
        <v>34</v>
      </c>
      <c r="C11" s="5">
        <v>1</v>
      </c>
      <c r="D11" s="5">
        <v>1</v>
      </c>
      <c r="E11" s="5" t="s">
        <v>2</v>
      </c>
      <c r="F11" s="5">
        <v>151.1</v>
      </c>
      <c r="G11" s="5">
        <v>181</v>
      </c>
      <c r="H11" s="5">
        <v>12</v>
      </c>
      <c r="I11" s="5">
        <v>2</v>
      </c>
      <c r="J11" s="5">
        <v>115</v>
      </c>
      <c r="K11" s="5">
        <v>100</v>
      </c>
      <c r="L11" s="5"/>
      <c r="M11" s="5"/>
      <c r="N11" s="1"/>
      <c r="O11" s="1"/>
      <c r="P11" s="1"/>
      <c r="Q11" s="1"/>
      <c r="R11" s="1"/>
      <c r="S11" s="1"/>
    </row>
    <row r="12" spans="1:24" x14ac:dyDescent="0.55000000000000004">
      <c r="A12" s="40">
        <v>3</v>
      </c>
      <c r="B12" s="5" t="s">
        <v>34</v>
      </c>
      <c r="C12" s="5">
        <v>1</v>
      </c>
      <c r="D12" s="5">
        <v>1</v>
      </c>
      <c r="E12" s="5" t="s">
        <v>2</v>
      </c>
      <c r="F12" s="5">
        <v>181.1</v>
      </c>
      <c r="G12" s="5">
        <v>273</v>
      </c>
      <c r="H12" s="5">
        <v>16</v>
      </c>
      <c r="I12" s="5">
        <v>2</v>
      </c>
      <c r="J12" s="5">
        <v>115</v>
      </c>
      <c r="K12" s="5">
        <v>95</v>
      </c>
      <c r="L12" s="5"/>
      <c r="M12" s="5"/>
      <c r="N12" s="1"/>
      <c r="O12" s="1"/>
      <c r="P12" s="1"/>
      <c r="Q12" s="1"/>
      <c r="R12" s="1"/>
      <c r="S12" s="1"/>
    </row>
    <row r="13" spans="1:24" x14ac:dyDescent="0.55000000000000004">
      <c r="A13" s="40">
        <v>4</v>
      </c>
      <c r="B13" s="5" t="s">
        <v>34</v>
      </c>
      <c r="C13" s="5">
        <v>1</v>
      </c>
      <c r="D13" s="5">
        <v>1</v>
      </c>
      <c r="E13" s="5" t="s">
        <v>2</v>
      </c>
      <c r="F13" s="5">
        <v>273.10000000000002</v>
      </c>
      <c r="G13" s="5">
        <v>365</v>
      </c>
      <c r="H13" s="5">
        <v>10</v>
      </c>
      <c r="I13" s="5">
        <v>2</v>
      </c>
      <c r="J13" s="5">
        <v>115</v>
      </c>
      <c r="K13" s="5">
        <v>92.5</v>
      </c>
      <c r="L13" s="5"/>
      <c r="M13" s="5"/>
      <c r="N13" s="1"/>
      <c r="O13" s="1"/>
      <c r="P13" s="1"/>
      <c r="Q13" s="1"/>
      <c r="R13" s="1"/>
      <c r="S13" s="1"/>
    </row>
    <row r="14" spans="1:24" x14ac:dyDescent="0.55000000000000004">
      <c r="A14" s="39" t="s">
        <v>458</v>
      </c>
      <c r="B14" s="39"/>
      <c r="C14" s="39"/>
      <c r="D14" s="39"/>
      <c r="E14" s="39"/>
      <c r="F14" s="39"/>
      <c r="G14" s="39"/>
      <c r="H14" s="39"/>
      <c r="I14" s="39"/>
      <c r="J14" s="39"/>
      <c r="K14" s="39"/>
      <c r="L14" s="39"/>
      <c r="M14" s="39"/>
      <c r="N14" s="39"/>
      <c r="O14" s="39"/>
      <c r="P14" s="39"/>
      <c r="Q14" s="39"/>
      <c r="R14" s="39"/>
      <c r="S14" s="39"/>
    </row>
    <row r="15" spans="1:24" x14ac:dyDescent="0.55000000000000004">
      <c r="A15" s="40" t="s">
        <v>1366</v>
      </c>
      <c r="B15" s="40" t="s">
        <v>1367</v>
      </c>
      <c r="C15" s="40" t="s">
        <v>1368</v>
      </c>
      <c r="D15" s="40" t="s">
        <v>1369</v>
      </c>
      <c r="E15" s="39"/>
      <c r="F15" s="39"/>
      <c r="G15" s="39"/>
      <c r="H15" s="39"/>
      <c r="I15" s="39"/>
      <c r="J15" s="39"/>
      <c r="K15" s="39"/>
      <c r="L15" s="39"/>
      <c r="M15" s="39"/>
      <c r="N15" s="39"/>
      <c r="O15" s="39"/>
      <c r="P15" s="39"/>
      <c r="Q15" s="39"/>
      <c r="R15" s="39"/>
      <c r="S15" s="39"/>
    </row>
    <row r="16" spans="1:24" x14ac:dyDescent="0.55000000000000004">
      <c r="A16" s="40">
        <v>1</v>
      </c>
      <c r="B16" s="5">
        <v>0</v>
      </c>
      <c r="C16" s="5">
        <v>-185</v>
      </c>
      <c r="D16" s="5" t="s">
        <v>11</v>
      </c>
      <c r="E16" s="39"/>
      <c r="F16" s="39"/>
      <c r="G16" s="39"/>
      <c r="H16" s="39"/>
      <c r="I16" s="39"/>
      <c r="J16" s="39"/>
      <c r="K16" s="39"/>
      <c r="L16" s="39"/>
      <c r="M16" s="39"/>
      <c r="N16" s="39"/>
      <c r="O16" s="39"/>
      <c r="P16" s="39"/>
      <c r="Q16" s="39"/>
      <c r="R16" s="39"/>
      <c r="S16" s="39"/>
    </row>
    <row r="17" spans="1:20" x14ac:dyDescent="0.55000000000000004">
      <c r="A17" s="40">
        <v>2</v>
      </c>
      <c r="B17" s="5">
        <v>0</v>
      </c>
      <c r="C17" s="5">
        <v>-185</v>
      </c>
      <c r="D17" s="5" t="s">
        <v>11</v>
      </c>
      <c r="E17" s="39"/>
      <c r="F17" s="39"/>
      <c r="G17" s="39"/>
      <c r="H17" s="39"/>
      <c r="I17" s="39"/>
      <c r="J17" s="39"/>
      <c r="K17" s="39"/>
      <c r="L17" s="39"/>
      <c r="M17" s="39"/>
      <c r="N17" s="39"/>
      <c r="O17" s="39"/>
      <c r="P17" s="39"/>
      <c r="Q17" s="39"/>
      <c r="R17" s="39"/>
      <c r="S17" s="39"/>
    </row>
    <row r="18" spans="1:20" x14ac:dyDescent="0.55000000000000004">
      <c r="A18" s="40">
        <v>3</v>
      </c>
      <c r="B18" s="5">
        <v>0</v>
      </c>
      <c r="C18" s="5">
        <v>-185</v>
      </c>
      <c r="D18" s="5" t="s">
        <v>11</v>
      </c>
      <c r="E18" s="39"/>
      <c r="F18" s="39"/>
      <c r="G18" s="39"/>
      <c r="H18" s="39"/>
      <c r="I18" s="39"/>
      <c r="J18" s="39"/>
      <c r="K18" s="39"/>
      <c r="L18" s="39"/>
      <c r="M18" s="39"/>
      <c r="N18" s="39"/>
      <c r="O18" s="39"/>
      <c r="P18" s="39"/>
      <c r="Q18" s="39"/>
      <c r="R18" s="39"/>
      <c r="S18" s="39"/>
    </row>
    <row r="19" spans="1:20" x14ac:dyDescent="0.55000000000000004">
      <c r="A19" s="40">
        <v>4</v>
      </c>
      <c r="B19" s="5">
        <v>0</v>
      </c>
      <c r="C19" s="5">
        <v>-185</v>
      </c>
      <c r="D19" s="5" t="s">
        <v>11</v>
      </c>
      <c r="E19" s="39"/>
      <c r="F19" s="39"/>
      <c r="G19" s="39"/>
      <c r="H19" s="39"/>
      <c r="I19" s="39"/>
      <c r="J19" s="39"/>
      <c r="K19" s="39"/>
      <c r="L19" s="39"/>
      <c r="M19" s="39"/>
      <c r="N19" s="39"/>
      <c r="O19" s="39"/>
      <c r="P19" s="39"/>
      <c r="Q19" s="39"/>
      <c r="R19" s="39"/>
      <c r="S19" s="39"/>
    </row>
    <row r="20" spans="1:20" x14ac:dyDescent="0.55000000000000004">
      <c r="A20" s="39"/>
      <c r="B20" s="39"/>
      <c r="C20" s="39"/>
      <c r="D20" s="39"/>
      <c r="E20" s="39"/>
      <c r="F20" s="39"/>
      <c r="G20" s="39"/>
      <c r="H20" s="39"/>
      <c r="I20" s="39"/>
      <c r="J20" s="39"/>
      <c r="K20" s="39"/>
      <c r="L20" s="39"/>
      <c r="M20" s="39"/>
      <c r="N20" s="39"/>
      <c r="O20" s="39"/>
      <c r="P20" s="39"/>
      <c r="Q20" s="39"/>
      <c r="R20" s="39"/>
      <c r="S20" s="39"/>
      <c r="T20" t="s">
        <v>1559</v>
      </c>
    </row>
    <row r="21" spans="1:20" x14ac:dyDescent="0.55000000000000004">
      <c r="A21" s="40" t="s">
        <v>1370</v>
      </c>
      <c r="B21" s="40"/>
      <c r="C21" s="40" t="s">
        <v>1557</v>
      </c>
      <c r="D21" s="39"/>
      <c r="E21" s="39"/>
      <c r="F21" s="39"/>
      <c r="G21" s="39"/>
      <c r="H21" s="39"/>
      <c r="I21" s="39"/>
      <c r="J21" s="39"/>
      <c r="K21" s="39"/>
      <c r="L21" s="39"/>
      <c r="M21" s="39"/>
      <c r="N21" s="39"/>
      <c r="O21" s="39"/>
      <c r="P21" s="39"/>
      <c r="Q21" s="39"/>
      <c r="R21" s="39"/>
      <c r="S21" s="39"/>
      <c r="T21" t="s">
        <v>1558</v>
      </c>
    </row>
    <row r="22" spans="1:20" x14ac:dyDescent="0.55000000000000004">
      <c r="A22" s="40">
        <v>1</v>
      </c>
      <c r="B22" s="5" t="s">
        <v>11</v>
      </c>
      <c r="C22" s="5">
        <v>0</v>
      </c>
      <c r="D22" s="39"/>
      <c r="E22" s="39"/>
      <c r="F22" s="39"/>
      <c r="G22" s="39"/>
      <c r="H22" s="39"/>
      <c r="I22" s="39"/>
      <c r="J22" s="39"/>
      <c r="K22" s="39"/>
      <c r="L22" s="39"/>
      <c r="M22" s="39"/>
      <c r="N22" s="39"/>
      <c r="O22" s="39"/>
      <c r="P22" s="39"/>
      <c r="Q22" s="39"/>
      <c r="R22" s="39"/>
      <c r="S22" s="39"/>
    </row>
    <row r="23" spans="1:20" x14ac:dyDescent="0.55000000000000004">
      <c r="A23" s="40">
        <v>2</v>
      </c>
      <c r="B23" s="5" t="s">
        <v>11</v>
      </c>
      <c r="C23" s="5">
        <v>0</v>
      </c>
      <c r="D23" s="39"/>
      <c r="E23" s="39"/>
      <c r="F23" s="39"/>
      <c r="G23" s="39"/>
      <c r="H23" s="39"/>
      <c r="I23" s="39"/>
      <c r="J23" s="39"/>
      <c r="K23" s="39"/>
      <c r="L23" s="39"/>
      <c r="M23" s="39"/>
      <c r="N23" s="39"/>
      <c r="O23" s="39"/>
      <c r="P23" s="39"/>
      <c r="Q23" s="39"/>
      <c r="R23" s="39"/>
      <c r="S23" s="39"/>
    </row>
    <row r="24" spans="1:20" x14ac:dyDescent="0.55000000000000004">
      <c r="A24" s="40">
        <v>3</v>
      </c>
      <c r="B24" s="5" t="s">
        <v>11</v>
      </c>
      <c r="C24" s="5">
        <v>0</v>
      </c>
      <c r="D24" s="39"/>
      <c r="E24" s="39"/>
      <c r="F24" s="39"/>
      <c r="G24" s="39"/>
      <c r="H24" s="39"/>
      <c r="I24" s="39"/>
      <c r="J24" s="39"/>
      <c r="K24" s="39"/>
      <c r="L24" s="39"/>
      <c r="M24" s="39"/>
      <c r="N24" s="39"/>
      <c r="O24" s="39"/>
      <c r="P24" s="39"/>
      <c r="Q24" s="39"/>
      <c r="R24" s="39"/>
      <c r="S24" s="39"/>
    </row>
    <row r="25" spans="1:20" x14ac:dyDescent="0.55000000000000004">
      <c r="A25" s="40">
        <v>4</v>
      </c>
      <c r="B25" s="5" t="s">
        <v>11</v>
      </c>
      <c r="C25" s="5">
        <v>0</v>
      </c>
      <c r="D25" s="39"/>
      <c r="E25" s="39"/>
      <c r="F25" s="39"/>
      <c r="G25" s="39"/>
      <c r="H25" s="39"/>
      <c r="I25" s="39"/>
      <c r="J25" s="39"/>
      <c r="K25" s="39"/>
      <c r="L25" s="39"/>
      <c r="M25" s="39"/>
      <c r="N25" s="39"/>
      <c r="O25" s="39"/>
      <c r="P25" s="39"/>
      <c r="Q25" s="39"/>
      <c r="R25" s="39"/>
      <c r="S25" s="39"/>
    </row>
    <row r="26" spans="1:20" x14ac:dyDescent="0.55000000000000004">
      <c r="A26" s="39"/>
      <c r="B26" s="39"/>
      <c r="C26" s="39"/>
      <c r="D26" s="39"/>
      <c r="E26" s="39"/>
      <c r="F26" s="39"/>
      <c r="G26" s="39"/>
      <c r="H26" s="39"/>
      <c r="I26" s="39"/>
      <c r="J26" s="39"/>
      <c r="K26" s="39"/>
      <c r="L26" s="39"/>
      <c r="M26" s="39"/>
      <c r="N26" s="39"/>
      <c r="O26" s="39"/>
      <c r="P26" s="39"/>
      <c r="Q26" s="39"/>
      <c r="R26" s="39"/>
      <c r="S26" s="39"/>
    </row>
    <row r="27" spans="1:20" x14ac:dyDescent="0.55000000000000004">
      <c r="A27" s="40" t="s">
        <v>1371</v>
      </c>
      <c r="B27" s="40" t="s">
        <v>1372</v>
      </c>
      <c r="C27" s="40" t="s">
        <v>1346</v>
      </c>
      <c r="D27" s="39"/>
      <c r="E27" s="39"/>
      <c r="F27" s="39"/>
      <c r="G27" s="39"/>
      <c r="H27" s="39"/>
      <c r="I27" s="39"/>
      <c r="J27" s="39"/>
      <c r="K27" s="39"/>
      <c r="L27" s="39"/>
      <c r="M27" s="39"/>
      <c r="N27" s="39"/>
      <c r="O27" s="39"/>
      <c r="P27" s="39"/>
      <c r="Q27" s="39"/>
      <c r="R27" s="39"/>
      <c r="S27" s="39"/>
    </row>
    <row r="28" spans="1:20" x14ac:dyDescent="0.55000000000000004">
      <c r="A28" s="40"/>
      <c r="B28" s="5" t="s">
        <v>11</v>
      </c>
      <c r="C28" s="5">
        <v>1</v>
      </c>
      <c r="D28" s="39"/>
      <c r="E28" s="39"/>
      <c r="F28" s="39"/>
      <c r="G28" s="39"/>
      <c r="H28" s="39"/>
      <c r="I28" s="39"/>
      <c r="J28" s="39"/>
      <c r="K28" s="39"/>
      <c r="L28" s="39"/>
      <c r="M28" s="39"/>
      <c r="N28" s="39"/>
      <c r="O28" s="39"/>
      <c r="P28" s="39"/>
      <c r="Q28" s="39"/>
      <c r="R28" s="39"/>
      <c r="S28" s="39"/>
    </row>
    <row r="29" spans="1:20" x14ac:dyDescent="0.55000000000000004">
      <c r="A29" s="39"/>
      <c r="B29" s="39"/>
      <c r="C29" s="39"/>
      <c r="D29" s="39"/>
      <c r="E29" s="39"/>
      <c r="F29" s="39"/>
      <c r="G29" s="39"/>
      <c r="H29" s="39"/>
      <c r="I29" s="39"/>
      <c r="J29" s="39"/>
      <c r="K29" s="39"/>
      <c r="L29" s="39"/>
      <c r="M29" s="39"/>
      <c r="N29" s="39"/>
      <c r="O29" s="39"/>
      <c r="P29" s="39"/>
      <c r="Q29" s="39"/>
      <c r="R29" s="39"/>
      <c r="S29" s="39"/>
    </row>
    <row r="30" spans="1:20" x14ac:dyDescent="0.55000000000000004">
      <c r="A30" s="40" t="s">
        <v>1373</v>
      </c>
      <c r="B30" s="40" t="s">
        <v>1349</v>
      </c>
      <c r="C30" s="40" t="s">
        <v>1350</v>
      </c>
      <c r="D30" s="40" t="s">
        <v>1352</v>
      </c>
      <c r="E30" s="40" t="s">
        <v>1353</v>
      </c>
      <c r="F30" s="40" t="s">
        <v>1354</v>
      </c>
      <c r="G30" s="40" t="s">
        <v>1374</v>
      </c>
      <c r="H30" s="40" t="s">
        <v>1375</v>
      </c>
      <c r="I30" s="40" t="s">
        <v>1376</v>
      </c>
      <c r="J30" s="40" t="s">
        <v>1377</v>
      </c>
      <c r="K30" s="40" t="s">
        <v>1378</v>
      </c>
      <c r="L30" s="40" t="s">
        <v>1395</v>
      </c>
      <c r="M30" s="39"/>
      <c r="N30" s="39"/>
      <c r="O30" s="39"/>
      <c r="P30" s="39"/>
      <c r="Q30" s="39"/>
      <c r="R30" s="39"/>
      <c r="S30" s="39"/>
    </row>
    <row r="31" spans="1:20" x14ac:dyDescent="0.55000000000000004">
      <c r="A31" s="40">
        <v>1</v>
      </c>
      <c r="B31" s="5" t="s">
        <v>34</v>
      </c>
      <c r="C31" s="5">
        <v>1</v>
      </c>
      <c r="D31" s="5" t="s">
        <v>2</v>
      </c>
      <c r="E31" s="5">
        <v>10</v>
      </c>
      <c r="F31" s="5">
        <v>45</v>
      </c>
      <c r="G31" s="5">
        <v>12</v>
      </c>
      <c r="H31" s="5">
        <v>2</v>
      </c>
      <c r="I31" s="5">
        <v>1</v>
      </c>
      <c r="J31" s="5">
        <v>1</v>
      </c>
      <c r="K31" s="5" t="s">
        <v>11</v>
      </c>
      <c r="L31" s="5" t="s">
        <v>11</v>
      </c>
      <c r="M31" s="39"/>
      <c r="N31" s="39"/>
      <c r="O31" s="39"/>
      <c r="P31" s="39"/>
      <c r="Q31" s="39"/>
      <c r="R31" s="39"/>
      <c r="S31" s="39"/>
    </row>
    <row r="32" spans="1:20" x14ac:dyDescent="0.55000000000000004">
      <c r="A32" s="39"/>
      <c r="B32" s="39"/>
      <c r="C32" s="39"/>
      <c r="D32" s="39"/>
      <c r="E32" s="39"/>
      <c r="F32" s="39"/>
      <c r="G32" s="39"/>
      <c r="H32" s="39"/>
      <c r="I32" s="39"/>
      <c r="J32" s="39"/>
      <c r="K32" s="39"/>
      <c r="L32" s="39"/>
      <c r="M32" s="39"/>
      <c r="N32" s="39"/>
      <c r="O32" s="39"/>
      <c r="P32" s="39"/>
      <c r="Q32" s="39"/>
      <c r="R32" s="39"/>
      <c r="S32" s="39"/>
    </row>
    <row r="33" spans="1:20" x14ac:dyDescent="0.55000000000000004">
      <c r="A33" s="40" t="s">
        <v>1379</v>
      </c>
      <c r="B33" s="40" t="s">
        <v>1380</v>
      </c>
      <c r="C33" s="39"/>
      <c r="D33" s="39"/>
      <c r="E33" s="39"/>
      <c r="F33" s="39"/>
      <c r="G33" s="39"/>
      <c r="H33" s="39"/>
      <c r="I33" s="39"/>
      <c r="J33" s="39"/>
      <c r="K33" s="39"/>
      <c r="L33" s="39"/>
      <c r="M33" s="39"/>
      <c r="N33" s="39"/>
      <c r="O33" s="39"/>
      <c r="P33" s="39"/>
      <c r="Q33" s="39"/>
      <c r="R33" s="39"/>
      <c r="S33" s="39"/>
    </row>
    <row r="34" spans="1:20" x14ac:dyDescent="0.55000000000000004">
      <c r="A34" s="40"/>
      <c r="B34" s="5">
        <v>2</v>
      </c>
      <c r="C34" s="39"/>
      <c r="D34" s="39"/>
      <c r="E34" s="39"/>
      <c r="F34" s="39"/>
      <c r="G34" s="39"/>
      <c r="H34" s="39"/>
      <c r="I34" s="39"/>
      <c r="J34" s="39"/>
      <c r="K34" s="39"/>
      <c r="L34" s="39"/>
      <c r="M34" s="39"/>
      <c r="N34" s="39"/>
      <c r="O34" s="39"/>
      <c r="P34" s="39"/>
      <c r="Q34" s="39"/>
      <c r="R34" s="39"/>
      <c r="S34" s="39"/>
    </row>
    <row r="35" spans="1:20" x14ac:dyDescent="0.55000000000000004">
      <c r="A35" s="39"/>
      <c r="B35" s="39"/>
      <c r="C35" s="39"/>
      <c r="D35" s="39"/>
      <c r="E35" s="39"/>
      <c r="F35" s="39"/>
      <c r="G35" s="39"/>
      <c r="H35" s="39"/>
      <c r="I35" s="39"/>
      <c r="J35" s="39"/>
      <c r="K35" s="39"/>
      <c r="L35" s="39"/>
      <c r="M35" s="39"/>
      <c r="N35" s="39"/>
      <c r="O35" s="39"/>
      <c r="P35" s="39"/>
      <c r="Q35" s="39"/>
      <c r="R35" s="39"/>
      <c r="S35" s="39"/>
    </row>
    <row r="36" spans="1:20" x14ac:dyDescent="0.55000000000000004">
      <c r="A36" s="40" t="s">
        <v>1381</v>
      </c>
      <c r="B36" s="40" t="s">
        <v>1385</v>
      </c>
      <c r="C36" s="40" t="s">
        <v>1386</v>
      </c>
      <c r="D36" s="40" t="s">
        <v>1387</v>
      </c>
      <c r="E36" s="40" t="s">
        <v>1388</v>
      </c>
      <c r="F36" s="40" t="s">
        <v>1389</v>
      </c>
      <c r="G36" s="40" t="s">
        <v>1390</v>
      </c>
      <c r="H36" s="40" t="s">
        <v>1391</v>
      </c>
      <c r="I36" s="40" t="s">
        <v>1392</v>
      </c>
      <c r="J36" s="40" t="s">
        <v>1393</v>
      </c>
      <c r="K36" s="40" t="s">
        <v>1394</v>
      </c>
      <c r="L36" s="39"/>
      <c r="M36" s="39"/>
      <c r="N36" s="39"/>
      <c r="O36" s="39"/>
      <c r="P36" s="39"/>
      <c r="Q36" s="39"/>
      <c r="R36" s="39"/>
      <c r="S36" s="39"/>
      <c r="T36" t="s">
        <v>1384</v>
      </c>
    </row>
    <row r="37" spans="1:20" x14ac:dyDescent="0.55000000000000004">
      <c r="A37" s="40">
        <v>1</v>
      </c>
      <c r="B37" s="5">
        <v>11.11</v>
      </c>
      <c r="C37" s="5">
        <v>11.11</v>
      </c>
      <c r="D37" s="40"/>
      <c r="E37" s="40"/>
      <c r="F37" s="40"/>
      <c r="G37" s="40"/>
      <c r="H37" s="40"/>
      <c r="I37" s="40"/>
      <c r="J37" s="40"/>
      <c r="K37" s="40"/>
      <c r="L37" s="39"/>
      <c r="M37" s="39"/>
      <c r="N37" s="39"/>
      <c r="O37" s="39"/>
      <c r="P37" s="39"/>
      <c r="Q37" s="39"/>
      <c r="R37" s="39"/>
      <c r="S37" s="39"/>
    </row>
    <row r="38" spans="1:20" x14ac:dyDescent="0.55000000000000004">
      <c r="A38" s="40">
        <v>2</v>
      </c>
      <c r="B38" s="5">
        <v>15.55</v>
      </c>
      <c r="C38" s="5">
        <v>15.55</v>
      </c>
      <c r="D38" s="40"/>
      <c r="E38" s="40"/>
      <c r="F38" s="40"/>
      <c r="G38" s="40"/>
      <c r="H38" s="40"/>
      <c r="I38" s="40"/>
      <c r="J38" s="40"/>
      <c r="K38" s="40"/>
      <c r="L38" s="39"/>
      <c r="M38" s="39"/>
      <c r="N38" s="39"/>
      <c r="O38" s="39"/>
      <c r="P38" s="39"/>
      <c r="Q38" s="39"/>
      <c r="R38" s="39"/>
      <c r="S38" s="39"/>
    </row>
  </sheetData>
  <phoneticPr fontId="9"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53340</xdr:colOff>
                    <xdr:row>1</xdr:row>
                    <xdr:rowOff>64770</xdr:rowOff>
                  </from>
                  <to>
                    <xdr:col>22</xdr:col>
                    <xdr:colOff>441960</xdr:colOff>
                    <xdr:row>5</xdr:row>
                    <xdr:rowOff>83820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I3" sqref="I3"/>
    </sheetView>
  </sheetViews>
  <sheetFormatPr defaultRowHeight="14.4" x14ac:dyDescent="0.55000000000000004"/>
  <cols>
    <col min="1" max="1" width="18.05078125" customWidth="1"/>
    <col min="2" max="2" width="15.62890625" customWidth="1"/>
  </cols>
  <sheetData>
    <row r="1" spans="1:9" x14ac:dyDescent="0.55000000000000004">
      <c r="A1" s="41" t="s">
        <v>1421</v>
      </c>
      <c r="B1" s="41" t="s">
        <v>1396</v>
      </c>
      <c r="C1" s="41"/>
    </row>
    <row r="2" spans="1:9" x14ac:dyDescent="0.55000000000000004">
      <c r="A2" s="41" t="s">
        <v>11</v>
      </c>
      <c r="B2" s="41">
        <v>1</v>
      </c>
      <c r="C2" s="41"/>
      <c r="I2" t="s">
        <v>1614</v>
      </c>
    </row>
    <row r="3" spans="1:9" x14ac:dyDescent="0.55000000000000004">
      <c r="A3" s="41" t="s">
        <v>1397</v>
      </c>
      <c r="B3" s="41" t="s">
        <v>1398</v>
      </c>
      <c r="C3" s="41"/>
      <c r="I3" s="66" t="s">
        <v>1613</v>
      </c>
    </row>
    <row r="4" spans="1:9" x14ac:dyDescent="0.55000000000000004">
      <c r="A4" s="41">
        <v>10</v>
      </c>
      <c r="B4" s="41">
        <v>115</v>
      </c>
      <c r="C4" s="41"/>
    </row>
    <row r="6" spans="1:9" x14ac:dyDescent="0.55000000000000004">
      <c r="D6" t="s">
        <v>1422</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53340</xdr:colOff>
                    <xdr:row>0</xdr:row>
                    <xdr:rowOff>64770</xdr:rowOff>
                  </from>
                  <to>
                    <xdr:col>6</xdr:col>
                    <xdr:colOff>441960</xdr:colOff>
                    <xdr:row>4</xdr:row>
                    <xdr:rowOff>83820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N9" sqref="N9"/>
    </sheetView>
  </sheetViews>
  <sheetFormatPr defaultRowHeight="14.4" x14ac:dyDescent="0.55000000000000004"/>
  <sheetData>
    <row r="1" spans="1:15" x14ac:dyDescent="0.55000000000000004">
      <c r="A1" s="43" t="s">
        <v>1399</v>
      </c>
      <c r="B1" s="43"/>
      <c r="C1" s="43"/>
      <c r="D1" s="43"/>
      <c r="E1" s="43"/>
      <c r="F1" s="43"/>
      <c r="G1" s="43"/>
      <c r="H1" s="43"/>
      <c r="I1" s="43"/>
      <c r="J1" s="43"/>
    </row>
    <row r="2" spans="1:15" x14ac:dyDescent="0.55000000000000004">
      <c r="A2" s="43" t="s">
        <v>1400</v>
      </c>
      <c r="B2" s="43" t="s">
        <v>1401</v>
      </c>
      <c r="C2" s="43" t="s">
        <v>1402</v>
      </c>
      <c r="D2" s="43" t="s">
        <v>1403</v>
      </c>
      <c r="E2" s="43" t="s">
        <v>1404</v>
      </c>
      <c r="F2" s="43" t="s">
        <v>1382</v>
      </c>
      <c r="G2" s="43" t="s">
        <v>1405</v>
      </c>
      <c r="H2" s="43" t="s">
        <v>1406</v>
      </c>
      <c r="I2" s="43" t="s">
        <v>1407</v>
      </c>
      <c r="J2" s="43" t="s">
        <v>1408</v>
      </c>
      <c r="O2" t="s">
        <v>1614</v>
      </c>
    </row>
    <row r="3" spans="1:15" x14ac:dyDescent="0.55000000000000004">
      <c r="A3" s="44" t="s">
        <v>2</v>
      </c>
      <c r="B3" s="44">
        <v>3</v>
      </c>
      <c r="C3" s="44">
        <v>5</v>
      </c>
      <c r="D3" s="44" t="s">
        <v>2</v>
      </c>
      <c r="E3" s="44" t="s">
        <v>11</v>
      </c>
      <c r="F3" s="44">
        <v>1</v>
      </c>
      <c r="G3" s="44">
        <v>1</v>
      </c>
      <c r="H3" s="44">
        <v>0</v>
      </c>
      <c r="I3" s="44">
        <v>0</v>
      </c>
      <c r="J3" s="44">
        <v>0</v>
      </c>
      <c r="O3" s="66" t="s">
        <v>1613</v>
      </c>
    </row>
    <row r="4" spans="1:15" x14ac:dyDescent="0.55000000000000004">
      <c r="A4" s="45" t="s">
        <v>1409</v>
      </c>
      <c r="B4" s="45" t="s">
        <v>1410</v>
      </c>
      <c r="C4" s="45" t="s">
        <v>1411</v>
      </c>
      <c r="D4" s="45" t="s">
        <v>1412</v>
      </c>
      <c r="E4" s="45" t="s">
        <v>1413</v>
      </c>
      <c r="F4" s="45" t="s">
        <v>1414</v>
      </c>
      <c r="G4" s="45" t="s">
        <v>1415</v>
      </c>
      <c r="H4" s="45" t="s">
        <v>1416</v>
      </c>
      <c r="I4" s="43"/>
      <c r="J4" s="43"/>
    </row>
    <row r="5" spans="1:15" x14ac:dyDescent="0.55000000000000004">
      <c r="A5" s="44">
        <v>1</v>
      </c>
      <c r="B5" s="44">
        <v>15</v>
      </c>
      <c r="C5" s="44">
        <v>100</v>
      </c>
      <c r="D5" s="44">
        <v>120</v>
      </c>
      <c r="E5" s="44">
        <v>0</v>
      </c>
      <c r="F5" s="44">
        <v>0</v>
      </c>
      <c r="G5" s="44">
        <v>0</v>
      </c>
      <c r="H5" s="44">
        <v>100.5</v>
      </c>
      <c r="I5" s="43"/>
      <c r="J5" s="43"/>
    </row>
    <row r="6" spans="1:15" x14ac:dyDescent="0.55000000000000004">
      <c r="A6" s="44">
        <v>2</v>
      </c>
      <c r="B6" s="44">
        <v>16</v>
      </c>
      <c r="C6" s="44">
        <v>100</v>
      </c>
      <c r="D6" s="44">
        <v>120</v>
      </c>
      <c r="E6" s="44">
        <v>0</v>
      </c>
      <c r="F6" s="44">
        <v>0</v>
      </c>
      <c r="G6" s="44">
        <v>0</v>
      </c>
      <c r="H6" s="44">
        <v>100.5</v>
      </c>
      <c r="I6" s="43"/>
      <c r="J6" s="43"/>
    </row>
    <row r="7" spans="1:15" x14ac:dyDescent="0.55000000000000004">
      <c r="A7" s="44">
        <v>3</v>
      </c>
      <c r="B7" s="44">
        <v>17</v>
      </c>
      <c r="C7" s="44">
        <v>100</v>
      </c>
      <c r="D7" s="44">
        <v>120</v>
      </c>
      <c r="E7" s="44">
        <v>0</v>
      </c>
      <c r="F7" s="44">
        <v>0</v>
      </c>
      <c r="G7" s="44">
        <v>0</v>
      </c>
      <c r="H7" s="44">
        <v>100.5</v>
      </c>
      <c r="I7" s="43"/>
      <c r="J7" s="43"/>
    </row>
    <row r="8" spans="1:15" x14ac:dyDescent="0.55000000000000004">
      <c r="A8" s="44" t="s">
        <v>1417</v>
      </c>
      <c r="B8" s="43"/>
      <c r="C8" s="43"/>
      <c r="D8" s="43"/>
      <c r="E8" s="43"/>
      <c r="F8" s="43"/>
      <c r="G8" s="43"/>
      <c r="H8" s="43"/>
      <c r="I8" s="43"/>
      <c r="J8" s="43"/>
    </row>
    <row r="9" spans="1:15" x14ac:dyDescent="0.55000000000000004">
      <c r="A9" s="44">
        <v>20</v>
      </c>
      <c r="B9" s="43"/>
      <c r="C9" s="43"/>
      <c r="D9" s="43"/>
      <c r="E9" s="43"/>
      <c r="F9" s="43"/>
      <c r="G9" s="43"/>
      <c r="H9" s="43"/>
      <c r="I9" s="43"/>
      <c r="J9" s="43"/>
    </row>
    <row r="10" spans="1:15" x14ac:dyDescent="0.55000000000000004">
      <c r="A10" s="44" t="s">
        <v>1321</v>
      </c>
      <c r="B10" s="44" t="s">
        <v>1322</v>
      </c>
      <c r="C10" s="44" t="s">
        <v>1324</v>
      </c>
      <c r="D10" s="44" t="s">
        <v>1325</v>
      </c>
      <c r="E10" s="44" t="s">
        <v>1327</v>
      </c>
      <c r="F10" s="44" t="s">
        <v>1328</v>
      </c>
      <c r="G10" s="43"/>
      <c r="H10" s="43"/>
      <c r="I10" s="43"/>
      <c r="J10" s="43"/>
    </row>
    <row r="11" spans="1:15" x14ac:dyDescent="0.55000000000000004">
      <c r="A11" s="44">
        <v>0.05</v>
      </c>
      <c r="B11" s="44">
        <v>0.5</v>
      </c>
      <c r="C11" s="44">
        <v>1</v>
      </c>
      <c r="D11" s="44">
        <v>20</v>
      </c>
      <c r="E11" s="44">
        <v>0.5</v>
      </c>
      <c r="F11" s="44">
        <v>10</v>
      </c>
      <c r="G11" s="43"/>
      <c r="H11" s="43"/>
      <c r="I11" s="43"/>
      <c r="J11" s="43"/>
    </row>
    <row r="12" spans="1:15" x14ac:dyDescent="0.55000000000000004">
      <c r="A12" s="44" t="s">
        <v>1418</v>
      </c>
      <c r="B12" s="43"/>
      <c r="C12" s="43"/>
      <c r="D12" s="43"/>
      <c r="E12" s="43"/>
      <c r="F12" s="43"/>
      <c r="G12" s="43"/>
      <c r="H12" s="43"/>
      <c r="I12" s="43"/>
      <c r="J12" s="43"/>
    </row>
    <row r="13" spans="1:15" x14ac:dyDescent="0.55000000000000004">
      <c r="A13" s="44">
        <v>2</v>
      </c>
      <c r="B13" s="43"/>
      <c r="C13" s="43"/>
      <c r="D13" s="43"/>
      <c r="E13" s="43"/>
      <c r="F13" s="43"/>
      <c r="G13" s="43"/>
      <c r="H13" s="43"/>
      <c r="I13" s="43"/>
      <c r="J13" s="43"/>
    </row>
    <row r="14" spans="1:15" x14ac:dyDescent="0.55000000000000004">
      <c r="A14" s="44" t="s">
        <v>1419</v>
      </c>
      <c r="B14" s="43"/>
      <c r="C14" s="43"/>
      <c r="D14" s="43"/>
      <c r="E14" s="43"/>
      <c r="F14" s="43"/>
      <c r="G14" s="43"/>
      <c r="H14" s="43"/>
      <c r="I14" s="43"/>
      <c r="J14" s="43"/>
    </row>
    <row r="15" spans="1:15" x14ac:dyDescent="0.55000000000000004">
      <c r="A15" s="44">
        <v>30</v>
      </c>
      <c r="B15" s="44">
        <v>60</v>
      </c>
      <c r="C15" s="43"/>
      <c r="D15" s="43"/>
      <c r="E15" s="43"/>
      <c r="F15" s="43"/>
      <c r="G15" s="43"/>
      <c r="H15" s="43"/>
      <c r="I15" s="43"/>
      <c r="J15" s="43"/>
    </row>
    <row r="16" spans="1:15" x14ac:dyDescent="0.55000000000000004">
      <c r="A16" s="44" t="s">
        <v>1420</v>
      </c>
      <c r="B16" s="43"/>
      <c r="C16" s="43"/>
      <c r="D16" s="43"/>
      <c r="E16" s="43"/>
      <c r="F16" s="43"/>
      <c r="G16" s="43"/>
      <c r="H16" s="43"/>
      <c r="I16" s="43"/>
      <c r="J16" s="43"/>
    </row>
    <row r="17" spans="1:10" x14ac:dyDescent="0.55000000000000004">
      <c r="A17" s="44">
        <v>10</v>
      </c>
      <c r="B17" s="44">
        <v>5</v>
      </c>
      <c r="C17" s="43"/>
      <c r="D17" s="43"/>
      <c r="E17" s="43"/>
      <c r="F17" s="43"/>
      <c r="G17" s="43"/>
      <c r="H17" s="43"/>
      <c r="I17" s="43"/>
      <c r="J17" s="43"/>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53340</xdr:colOff>
                    <xdr:row>1</xdr:row>
                    <xdr:rowOff>64770</xdr:rowOff>
                  </from>
                  <to>
                    <xdr:col>13</xdr:col>
                    <xdr:colOff>441960</xdr:colOff>
                    <xdr:row>5</xdr:row>
                    <xdr:rowOff>83820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I10"/>
  <sheetViews>
    <sheetView workbookViewId="0">
      <selection activeCell="I2" sqref="I2:I3"/>
    </sheetView>
  </sheetViews>
  <sheetFormatPr defaultRowHeight="14.4" x14ac:dyDescent="0.55000000000000004"/>
  <cols>
    <col min="1" max="1" width="16.89453125" customWidth="1"/>
    <col min="2" max="2" width="21.68359375" customWidth="1"/>
    <col min="3" max="3" width="38.578125" customWidth="1"/>
  </cols>
  <sheetData>
    <row r="1" spans="1:9" x14ac:dyDescent="0.55000000000000004">
      <c r="A1" s="46" t="s">
        <v>1423</v>
      </c>
      <c r="B1" s="46"/>
      <c r="C1" s="46"/>
      <c r="D1" s="46"/>
    </row>
    <row r="2" spans="1:9" x14ac:dyDescent="0.55000000000000004">
      <c r="A2" s="47" t="s">
        <v>11</v>
      </c>
      <c r="B2" s="46"/>
      <c r="C2" s="46"/>
      <c r="D2" s="46"/>
      <c r="I2" t="s">
        <v>1614</v>
      </c>
    </row>
    <row r="3" spans="1:9" x14ac:dyDescent="0.55000000000000004">
      <c r="A3" s="46" t="s">
        <v>1424</v>
      </c>
      <c r="B3" s="46"/>
      <c r="C3" s="46"/>
      <c r="D3" s="46"/>
      <c r="I3" s="66" t="s">
        <v>1613</v>
      </c>
    </row>
    <row r="4" spans="1:9" x14ac:dyDescent="0.55000000000000004">
      <c r="A4" s="47">
        <v>1</v>
      </c>
      <c r="B4" s="46"/>
      <c r="C4" s="46"/>
      <c r="D4" s="46"/>
    </row>
    <row r="5" spans="1:9" x14ac:dyDescent="0.55000000000000004">
      <c r="A5" s="46" t="s">
        <v>1427</v>
      </c>
      <c r="B5" s="46" t="s">
        <v>1428</v>
      </c>
      <c r="C5" s="46" t="s">
        <v>1431</v>
      </c>
      <c r="D5" s="46"/>
    </row>
    <row r="6" spans="1:9" x14ac:dyDescent="0.55000000000000004">
      <c r="A6" s="47" t="s">
        <v>1426</v>
      </c>
      <c r="B6" s="47">
        <v>1</v>
      </c>
      <c r="C6" s="47" t="s">
        <v>1430</v>
      </c>
      <c r="D6" s="46"/>
    </row>
    <row r="7" spans="1:9" x14ac:dyDescent="0.55000000000000004">
      <c r="A7" s="46" t="s">
        <v>1429</v>
      </c>
      <c r="B7" s="46"/>
      <c r="C7" s="46"/>
      <c r="D7" s="46"/>
    </row>
    <row r="8" spans="1:9" x14ac:dyDescent="0.55000000000000004">
      <c r="A8" s="47">
        <v>2</v>
      </c>
      <c r="B8" s="46"/>
      <c r="C8" s="46"/>
      <c r="D8" s="46"/>
    </row>
    <row r="9" spans="1:9" x14ac:dyDescent="0.55000000000000004">
      <c r="A9" s="46" t="s">
        <v>1425</v>
      </c>
      <c r="B9" s="46"/>
      <c r="C9" s="46"/>
      <c r="D9" s="46"/>
    </row>
    <row r="10" spans="1:9" x14ac:dyDescent="0.55000000000000004">
      <c r="A10" s="47">
        <v>20</v>
      </c>
      <c r="B10" s="46"/>
      <c r="C10" s="46"/>
      <c r="D10" s="46"/>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224790</xdr:colOff>
                    <xdr:row>1</xdr:row>
                    <xdr:rowOff>64770</xdr:rowOff>
                  </from>
                  <to>
                    <xdr:col>6</xdr:col>
                    <xdr:colOff>613410</xdr:colOff>
                    <xdr:row>5</xdr:row>
                    <xdr:rowOff>83820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M30" sqref="M30"/>
    </sheetView>
  </sheetViews>
  <sheetFormatPr defaultRowHeight="14.4" x14ac:dyDescent="0.55000000000000004"/>
  <cols>
    <col min="1" max="1" width="18.05078125" customWidth="1"/>
    <col min="2" max="2" width="15.62890625" customWidth="1"/>
  </cols>
  <sheetData>
    <row r="1" spans="1:11" x14ac:dyDescent="0.55000000000000004">
      <c r="A1" s="38" t="s">
        <v>1491</v>
      </c>
      <c r="B1" s="38" t="s">
        <v>1492</v>
      </c>
      <c r="C1" s="38"/>
      <c r="D1" s="38"/>
      <c r="E1" s="38"/>
      <c r="F1" s="38"/>
      <c r="G1" s="38"/>
      <c r="K1" t="s">
        <v>1614</v>
      </c>
    </row>
    <row r="2" spans="1:11" x14ac:dyDescent="0.55000000000000004">
      <c r="A2" s="38">
        <v>1</v>
      </c>
      <c r="B2" s="38"/>
      <c r="C2" s="38"/>
      <c r="D2" s="38"/>
      <c r="E2" s="38"/>
      <c r="F2" s="38"/>
      <c r="G2" s="38"/>
      <c r="K2" s="66" t="s">
        <v>1613</v>
      </c>
    </row>
    <row r="3" spans="1:11" x14ac:dyDescent="0.55000000000000004">
      <c r="A3" s="38" t="s">
        <v>1493</v>
      </c>
      <c r="B3" s="38"/>
      <c r="C3" s="38"/>
      <c r="D3" s="38"/>
      <c r="E3" s="38"/>
      <c r="F3" s="38"/>
      <c r="G3" s="38"/>
    </row>
    <row r="4" spans="1:11" x14ac:dyDescent="0.55000000000000004">
      <c r="A4" s="38">
        <v>1</v>
      </c>
      <c r="B4" s="38"/>
      <c r="C4" s="38"/>
      <c r="D4" s="38"/>
      <c r="E4" s="38"/>
      <c r="F4" s="38"/>
      <c r="G4" s="38"/>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68580</xdr:rowOff>
                  </from>
                  <to>
                    <xdr:col>9</xdr:col>
                    <xdr:colOff>541020</xdr:colOff>
                    <xdr:row>5</xdr:row>
                    <xdr:rowOff>87630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defaultRowHeight="14.4" x14ac:dyDescent="0.55000000000000004"/>
  <cols>
    <col min="2" max="2" width="61.62890625" customWidth="1"/>
    <col min="3" max="3" width="7.68359375" customWidth="1"/>
    <col min="4" max="4" width="7" customWidth="1"/>
    <col min="5" max="5" width="5.68359375" customWidth="1"/>
    <col min="6" max="6" width="7.15625" customWidth="1"/>
    <col min="7" max="7" width="6.47265625" customWidth="1"/>
    <col min="8" max="8" width="5.734375" customWidth="1"/>
    <col min="10" max="10" width="4.68359375" customWidth="1"/>
    <col min="12" max="12" width="8.83984375" customWidth="1"/>
  </cols>
  <sheetData>
    <row r="1" spans="1:19" x14ac:dyDescent="0.55000000000000004">
      <c r="A1" s="49" t="s">
        <v>1464</v>
      </c>
      <c r="B1" s="49"/>
      <c r="C1" s="49"/>
      <c r="D1" s="49"/>
      <c r="E1" s="49"/>
      <c r="F1" s="49"/>
      <c r="G1" s="49"/>
      <c r="H1" s="49"/>
      <c r="I1" s="49"/>
      <c r="J1" s="49"/>
      <c r="K1" t="s">
        <v>1482</v>
      </c>
    </row>
    <row r="2" spans="1:19" x14ac:dyDescent="0.55000000000000004">
      <c r="A2" s="49"/>
      <c r="B2" s="49"/>
      <c r="C2" s="49"/>
      <c r="D2" s="49"/>
      <c r="E2" s="49"/>
      <c r="F2" s="49"/>
      <c r="G2" s="49"/>
      <c r="H2" s="49"/>
      <c r="I2" s="49"/>
      <c r="J2" s="49"/>
    </row>
    <row r="3" spans="1:19" x14ac:dyDescent="0.55000000000000004">
      <c r="A3" s="49" t="s">
        <v>1432</v>
      </c>
      <c r="B3" s="49"/>
      <c r="C3" s="49"/>
      <c r="D3" s="49"/>
      <c r="E3" s="49"/>
      <c r="F3" s="49"/>
      <c r="G3" s="49"/>
      <c r="H3" s="49"/>
      <c r="I3" s="49"/>
      <c r="J3" s="49"/>
    </row>
    <row r="4" spans="1:19" x14ac:dyDescent="0.55000000000000004">
      <c r="A4" s="49"/>
      <c r="B4" s="5" t="s">
        <v>1466</v>
      </c>
      <c r="C4" s="49"/>
      <c r="D4" s="49"/>
      <c r="E4" s="49"/>
      <c r="F4" s="49"/>
      <c r="G4" s="49"/>
      <c r="H4" s="49"/>
      <c r="I4" s="49"/>
      <c r="J4" s="49"/>
    </row>
    <row r="5" spans="1:19" x14ac:dyDescent="0.55000000000000004">
      <c r="A5" s="49"/>
      <c r="B5" s="5" t="s">
        <v>1467</v>
      </c>
      <c r="C5" s="49"/>
      <c r="D5" s="49"/>
      <c r="E5" s="49"/>
      <c r="F5" s="49"/>
      <c r="G5" s="49"/>
      <c r="H5" s="49"/>
      <c r="I5" s="49"/>
      <c r="J5" s="49"/>
    </row>
    <row r="6" spans="1:19" x14ac:dyDescent="0.55000000000000004">
      <c r="A6" s="49"/>
      <c r="B6" s="5" t="s">
        <v>1468</v>
      </c>
      <c r="C6" s="49"/>
      <c r="D6" s="49"/>
      <c r="E6" s="49"/>
      <c r="F6" s="49"/>
      <c r="G6" s="49"/>
      <c r="H6" s="49"/>
      <c r="I6" s="49"/>
      <c r="J6" s="49"/>
    </row>
    <row r="7" spans="1:19" x14ac:dyDescent="0.55000000000000004">
      <c r="A7" s="49"/>
      <c r="B7" s="5" t="s">
        <v>1469</v>
      </c>
      <c r="C7" s="49"/>
      <c r="D7" s="49"/>
      <c r="E7" s="49"/>
      <c r="F7" s="49"/>
      <c r="G7" s="49"/>
      <c r="H7" s="49"/>
      <c r="I7" s="49"/>
      <c r="J7" s="49"/>
    </row>
    <row r="8" spans="1:19" x14ac:dyDescent="0.55000000000000004">
      <c r="A8" s="49"/>
      <c r="B8" s="5" t="s">
        <v>1470</v>
      </c>
      <c r="C8" s="49"/>
      <c r="D8" s="49"/>
      <c r="E8" s="49"/>
      <c r="F8" s="49"/>
      <c r="G8" s="49"/>
      <c r="H8" s="49"/>
      <c r="I8" s="49"/>
      <c r="J8" s="49"/>
      <c r="S8" s="48"/>
    </row>
    <row r="9" spans="1:19" x14ac:dyDescent="0.55000000000000004">
      <c r="A9" s="49"/>
      <c r="B9" s="5" t="s">
        <v>1471</v>
      </c>
      <c r="C9" s="49"/>
      <c r="D9" s="49"/>
      <c r="E9" s="49"/>
      <c r="F9" s="49"/>
      <c r="G9" s="49"/>
      <c r="H9" s="49"/>
      <c r="I9" s="49"/>
      <c r="J9" s="49"/>
      <c r="K9" t="s">
        <v>1476</v>
      </c>
    </row>
    <row r="10" spans="1:19" x14ac:dyDescent="0.55000000000000004">
      <c r="A10" s="49"/>
      <c r="B10" s="5" t="s">
        <v>1472</v>
      </c>
      <c r="C10" s="49"/>
      <c r="D10" s="49"/>
      <c r="E10" s="49"/>
      <c r="F10" s="49"/>
      <c r="G10" s="49"/>
      <c r="H10" s="49"/>
      <c r="I10" s="49"/>
      <c r="J10" s="49"/>
      <c r="K10" t="s">
        <v>1477</v>
      </c>
    </row>
    <row r="11" spans="1:19" x14ac:dyDescent="0.55000000000000004">
      <c r="A11" s="49"/>
      <c r="B11" s="5" t="s">
        <v>1473</v>
      </c>
      <c r="C11" s="49"/>
      <c r="D11" s="49"/>
      <c r="E11" s="49"/>
      <c r="F11" s="49"/>
      <c r="G11" s="49"/>
      <c r="H11" s="49"/>
      <c r="I11" s="49"/>
      <c r="J11" s="49"/>
    </row>
    <row r="12" spans="1:19" x14ac:dyDescent="0.55000000000000004">
      <c r="A12" s="49"/>
      <c r="B12" s="5" t="s">
        <v>1474</v>
      </c>
      <c r="C12" s="49"/>
      <c r="D12" s="49"/>
      <c r="E12" s="49"/>
      <c r="F12" s="49"/>
      <c r="G12" s="49"/>
      <c r="H12" s="49"/>
      <c r="I12" s="49"/>
      <c r="J12" s="49"/>
    </row>
    <row r="13" spans="1:19" x14ac:dyDescent="0.55000000000000004">
      <c r="A13" s="49"/>
      <c r="B13" s="5" t="s">
        <v>1475</v>
      </c>
      <c r="C13" s="49"/>
      <c r="D13" s="49"/>
      <c r="E13" s="49"/>
      <c r="F13" s="49"/>
      <c r="G13" s="49"/>
      <c r="H13" s="49"/>
      <c r="I13" s="49"/>
      <c r="J13" s="49"/>
      <c r="L13" t="s">
        <v>1614</v>
      </c>
    </row>
    <row r="14" spans="1:19" x14ac:dyDescent="0.55000000000000004">
      <c r="A14" s="49"/>
      <c r="B14" s="49"/>
      <c r="C14" s="49"/>
      <c r="D14" s="49"/>
      <c r="E14" s="49"/>
      <c r="F14" s="49"/>
      <c r="G14" s="49"/>
      <c r="H14" s="49"/>
      <c r="I14" s="49"/>
      <c r="J14" s="49"/>
      <c r="L14" s="66" t="s">
        <v>1613</v>
      </c>
    </row>
    <row r="15" spans="1:19" x14ac:dyDescent="0.55000000000000004">
      <c r="A15" s="49" t="s">
        <v>1435</v>
      </c>
      <c r="B15" s="49" t="s">
        <v>1436</v>
      </c>
      <c r="C15" s="49" t="s">
        <v>1437</v>
      </c>
      <c r="D15" s="49" t="s">
        <v>1438</v>
      </c>
      <c r="E15" s="49" t="s">
        <v>1439</v>
      </c>
      <c r="F15" s="49"/>
      <c r="G15" s="49"/>
      <c r="H15" s="49"/>
      <c r="I15" s="49"/>
      <c r="J15" s="49"/>
    </row>
    <row r="16" spans="1:19" x14ac:dyDescent="0.55000000000000004">
      <c r="A16" s="49"/>
      <c r="B16" s="5" t="s">
        <v>11</v>
      </c>
      <c r="C16" s="5" t="s">
        <v>11</v>
      </c>
      <c r="D16" s="5" t="s">
        <v>11</v>
      </c>
      <c r="E16" s="5" t="s">
        <v>11</v>
      </c>
      <c r="F16" s="49"/>
      <c r="G16" s="49"/>
      <c r="H16" s="49"/>
      <c r="I16" s="49"/>
      <c r="J16" s="49"/>
    </row>
    <row r="17" spans="1:11" x14ac:dyDescent="0.55000000000000004">
      <c r="A17" s="49"/>
      <c r="B17" s="49"/>
      <c r="C17" s="49"/>
      <c r="D17" s="49"/>
      <c r="E17" s="49"/>
      <c r="F17" s="49"/>
      <c r="G17" s="49"/>
      <c r="H17" s="49"/>
      <c r="I17" s="49"/>
      <c r="J17" s="49"/>
    </row>
    <row r="18" spans="1:11" x14ac:dyDescent="0.55000000000000004">
      <c r="A18" s="49" t="s">
        <v>1479</v>
      </c>
      <c r="B18" s="49" t="s">
        <v>1441</v>
      </c>
      <c r="C18" s="49" t="s">
        <v>1442</v>
      </c>
      <c r="D18" s="50"/>
      <c r="E18" s="49"/>
      <c r="F18" s="49"/>
      <c r="G18" s="49"/>
      <c r="H18" s="49"/>
      <c r="I18" s="49"/>
      <c r="J18" s="49"/>
    </row>
    <row r="19" spans="1:11" x14ac:dyDescent="0.55000000000000004">
      <c r="A19" s="49" t="s">
        <v>1443</v>
      </c>
      <c r="B19" s="5" t="s">
        <v>1480</v>
      </c>
      <c r="C19" s="5">
        <v>1</v>
      </c>
      <c r="D19" s="49"/>
      <c r="E19" s="49"/>
      <c r="F19" s="49"/>
      <c r="G19" s="49"/>
      <c r="H19" s="49"/>
      <c r="I19" s="49"/>
      <c r="J19" s="49"/>
    </row>
    <row r="20" spans="1:11" x14ac:dyDescent="0.55000000000000004">
      <c r="A20" s="49"/>
      <c r="B20" s="49"/>
      <c r="C20" s="49"/>
      <c r="D20" s="49"/>
      <c r="E20" s="49"/>
      <c r="F20" s="49"/>
      <c r="G20" s="49"/>
      <c r="H20" s="49"/>
      <c r="I20" s="49"/>
      <c r="J20" s="49"/>
    </row>
    <row r="21" spans="1:11" x14ac:dyDescent="0.55000000000000004">
      <c r="A21" s="49" t="s">
        <v>1440</v>
      </c>
      <c r="B21" s="49" t="s">
        <v>1445</v>
      </c>
      <c r="C21" s="49" t="s">
        <v>1446</v>
      </c>
      <c r="D21" s="49" t="s">
        <v>1447</v>
      </c>
      <c r="E21" s="49" t="s">
        <v>1448</v>
      </c>
      <c r="F21" s="49" t="s">
        <v>1449</v>
      </c>
      <c r="G21" s="49" t="s">
        <v>1450</v>
      </c>
      <c r="H21" s="49" t="s">
        <v>1451</v>
      </c>
      <c r="I21" s="49" t="s">
        <v>1452</v>
      </c>
      <c r="J21" s="49"/>
    </row>
    <row r="22" spans="1:11" x14ac:dyDescent="0.55000000000000004">
      <c r="A22" s="49" t="s">
        <v>1453</v>
      </c>
      <c r="B22" s="5">
        <v>-1</v>
      </c>
      <c r="C22" s="5">
        <v>231.3</v>
      </c>
      <c r="D22" s="5">
        <v>0</v>
      </c>
      <c r="E22" s="5">
        <v>269.13</v>
      </c>
      <c r="F22" s="5" t="s">
        <v>2</v>
      </c>
      <c r="G22" s="5" t="s">
        <v>1444</v>
      </c>
      <c r="H22" s="5">
        <v>0</v>
      </c>
      <c r="I22" s="5">
        <v>110</v>
      </c>
      <c r="J22" s="49"/>
    </row>
    <row r="23" spans="1:11" x14ac:dyDescent="0.55000000000000004">
      <c r="A23" s="49"/>
      <c r="B23" s="49"/>
      <c r="C23" s="49"/>
      <c r="D23" s="49"/>
      <c r="E23" s="49"/>
      <c r="F23" s="49"/>
      <c r="G23" s="49"/>
      <c r="H23" s="49"/>
      <c r="I23" s="49"/>
      <c r="J23" s="49"/>
    </row>
    <row r="24" spans="1:11" x14ac:dyDescent="0.55000000000000004">
      <c r="A24" s="49" t="s">
        <v>1463</v>
      </c>
      <c r="B24" s="49" t="s">
        <v>1454</v>
      </c>
      <c r="C24" s="49" t="s">
        <v>1455</v>
      </c>
      <c r="D24" s="49" t="s">
        <v>1456</v>
      </c>
      <c r="E24" s="49" t="s">
        <v>1457</v>
      </c>
      <c r="F24" s="49" t="s">
        <v>1458</v>
      </c>
      <c r="G24" s="49" t="s">
        <v>1455</v>
      </c>
      <c r="H24" s="49" t="s">
        <v>1456</v>
      </c>
      <c r="I24" s="49" t="s">
        <v>1457</v>
      </c>
      <c r="J24" s="49" t="s">
        <v>1458</v>
      </c>
    </row>
    <row r="25" spans="1:11" x14ac:dyDescent="0.55000000000000004">
      <c r="A25" s="51" t="s">
        <v>1453</v>
      </c>
      <c r="B25" s="5">
        <v>3</v>
      </c>
      <c r="C25" s="5">
        <v>1</v>
      </c>
      <c r="D25" s="5">
        <v>1</v>
      </c>
      <c r="E25" s="5">
        <v>0.67100000000000004</v>
      </c>
      <c r="F25" s="5">
        <v>23.5</v>
      </c>
      <c r="G25" s="5">
        <v>400</v>
      </c>
      <c r="H25" s="5">
        <v>0</v>
      </c>
      <c r="I25" s="5">
        <v>-0.02</v>
      </c>
      <c r="J25" s="5">
        <v>0</v>
      </c>
    </row>
    <row r="26" spans="1:11" x14ac:dyDescent="0.55000000000000004">
      <c r="A26" s="51" t="s">
        <v>1480</v>
      </c>
      <c r="B26" s="5">
        <v>1</v>
      </c>
      <c r="C26" s="5">
        <v>95.790999999999997</v>
      </c>
      <c r="D26" s="5">
        <v>1.07193</v>
      </c>
      <c r="E26" s="5">
        <v>178.852</v>
      </c>
      <c r="F26" s="5">
        <v>-0.51</v>
      </c>
      <c r="G26" s="50"/>
      <c r="H26" s="50"/>
      <c r="I26" s="50"/>
      <c r="J26" s="50"/>
      <c r="K26" s="2" t="s">
        <v>1481</v>
      </c>
    </row>
    <row r="27" spans="1:11" x14ac:dyDescent="0.55000000000000004">
      <c r="A27" s="49"/>
      <c r="B27" s="49"/>
      <c r="C27" s="49"/>
      <c r="D27" s="49"/>
      <c r="E27" s="49"/>
      <c r="F27" s="49"/>
      <c r="G27" s="49"/>
      <c r="H27" s="49"/>
      <c r="I27" s="49"/>
      <c r="J27" s="49"/>
    </row>
    <row r="28" spans="1:11" x14ac:dyDescent="0.55000000000000004">
      <c r="A28" s="49" t="s">
        <v>1462</v>
      </c>
      <c r="B28" s="49" t="s">
        <v>1459</v>
      </c>
      <c r="C28" s="49" t="s">
        <v>1460</v>
      </c>
      <c r="D28" s="49" t="s">
        <v>1461</v>
      </c>
      <c r="E28" s="49" t="s">
        <v>1460</v>
      </c>
      <c r="F28" s="49" t="s">
        <v>1461</v>
      </c>
      <c r="G28" s="49"/>
      <c r="H28" s="49"/>
      <c r="I28" s="49"/>
      <c r="J28" s="49"/>
    </row>
    <row r="29" spans="1:11" x14ac:dyDescent="0.55000000000000004">
      <c r="A29" s="49" t="s">
        <v>1453</v>
      </c>
      <c r="B29" s="5">
        <v>1</v>
      </c>
      <c r="C29" s="5">
        <v>2.1399999999999999E-2</v>
      </c>
      <c r="D29" s="5">
        <v>0.01</v>
      </c>
      <c r="E29" s="5"/>
      <c r="F29" s="5"/>
      <c r="G29" s="49"/>
      <c r="H29" s="49"/>
      <c r="I29" s="49"/>
      <c r="J29" s="49"/>
    </row>
    <row r="30" spans="1:11" x14ac:dyDescent="0.55000000000000004">
      <c r="A30" s="49"/>
      <c r="B30" s="49"/>
      <c r="C30" s="49"/>
      <c r="D30" s="49"/>
      <c r="E30" s="49"/>
      <c r="F30" s="49"/>
      <c r="G30" s="49"/>
      <c r="H30" s="49"/>
      <c r="I30" s="49"/>
      <c r="J30" s="49"/>
    </row>
    <row r="31" spans="1:11" x14ac:dyDescent="0.55000000000000004">
      <c r="A31" s="49" t="s">
        <v>1433</v>
      </c>
      <c r="B31" s="49"/>
      <c r="C31" s="49"/>
      <c r="D31" s="49"/>
      <c r="E31" s="49"/>
      <c r="F31" s="49"/>
      <c r="G31" s="49"/>
      <c r="H31" s="49"/>
      <c r="I31" s="49"/>
      <c r="J31" s="49"/>
    </row>
    <row r="32" spans="1:11" x14ac:dyDescent="0.55000000000000004">
      <c r="A32" s="49" t="s">
        <v>1453</v>
      </c>
      <c r="B32" s="5" t="s">
        <v>1465</v>
      </c>
      <c r="C32" s="49"/>
      <c r="D32" s="49"/>
      <c r="E32" s="49"/>
      <c r="F32" s="49"/>
      <c r="G32" s="49"/>
      <c r="H32" s="49"/>
      <c r="I32" s="49"/>
      <c r="J32" s="49"/>
      <c r="K32" t="s">
        <v>1478</v>
      </c>
    </row>
    <row r="33" spans="1:10" x14ac:dyDescent="0.55000000000000004">
      <c r="A33" s="49"/>
      <c r="B33" s="49"/>
      <c r="C33" s="49"/>
      <c r="D33" s="49"/>
      <c r="E33" s="49"/>
      <c r="F33" s="49"/>
      <c r="G33" s="49"/>
      <c r="H33" s="49"/>
      <c r="I33" s="49"/>
      <c r="J33" s="49"/>
    </row>
    <row r="35" spans="1:10" x14ac:dyDescent="0.55000000000000004">
      <c r="A35" t="s">
        <v>1434</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72390</xdr:colOff>
                    <xdr:row>1</xdr:row>
                    <xdr:rowOff>64770</xdr:rowOff>
                  </from>
                  <to>
                    <xdr:col>13</xdr:col>
                    <xdr:colOff>461010</xdr:colOff>
                    <xdr:row>5</xdr:row>
                    <xdr:rowOff>83820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4E0E-1377-4114-AFFB-36DB1BAEE891}">
  <sheetPr codeName="Sheet17"/>
  <dimension ref="A1:T37"/>
  <sheetViews>
    <sheetView workbookViewId="0">
      <selection activeCell="E37" sqref="E37"/>
    </sheetView>
  </sheetViews>
  <sheetFormatPr defaultRowHeight="14.4" x14ac:dyDescent="0.55000000000000004"/>
  <cols>
    <col min="2" max="2" width="15.41796875" customWidth="1"/>
  </cols>
  <sheetData>
    <row r="1" spans="1:20" x14ac:dyDescent="0.55000000000000004">
      <c r="A1" s="31" t="s">
        <v>2140</v>
      </c>
      <c r="B1" s="31"/>
      <c r="C1" s="31"/>
      <c r="D1" s="31"/>
      <c r="E1" s="31"/>
      <c r="F1" s="31"/>
      <c r="G1" s="31"/>
      <c r="H1" s="31"/>
      <c r="I1" s="31"/>
      <c r="J1" s="31"/>
      <c r="K1" s="31"/>
      <c r="L1" s="31"/>
      <c r="M1" s="31"/>
      <c r="N1" s="31"/>
      <c r="O1" s="31"/>
      <c r="P1" s="31"/>
      <c r="Q1" s="31"/>
      <c r="R1" s="31"/>
      <c r="S1" s="31"/>
      <c r="T1" s="31"/>
    </row>
    <row r="2" spans="1:20" x14ac:dyDescent="0.55000000000000004">
      <c r="A2" s="31" t="s">
        <v>2141</v>
      </c>
      <c r="B2" s="31"/>
      <c r="C2" s="31"/>
      <c r="D2" s="31"/>
      <c r="E2" s="31"/>
      <c r="F2" s="31"/>
      <c r="G2" s="31"/>
      <c r="H2" s="31"/>
      <c r="I2" s="31"/>
      <c r="J2" s="31"/>
      <c r="K2" s="31"/>
      <c r="L2" s="31"/>
      <c r="M2" s="31"/>
      <c r="N2" s="31"/>
      <c r="O2" s="31"/>
      <c r="P2" s="31"/>
      <c r="Q2" s="31"/>
      <c r="R2" s="31"/>
      <c r="S2" s="31"/>
      <c r="T2" s="31"/>
    </row>
    <row r="3" spans="1:20" x14ac:dyDescent="0.55000000000000004">
      <c r="A3" s="31" t="s">
        <v>0</v>
      </c>
      <c r="B3" s="31" t="s">
        <v>2142</v>
      </c>
      <c r="C3" s="31"/>
      <c r="D3" s="31"/>
      <c r="E3" s="31"/>
      <c r="F3" s="31"/>
      <c r="G3" s="31"/>
      <c r="H3" s="31"/>
      <c r="I3" s="31"/>
      <c r="J3" s="31"/>
      <c r="K3" s="31"/>
      <c r="L3" s="31"/>
      <c r="M3" s="31"/>
      <c r="N3" s="31"/>
      <c r="O3" s="31"/>
      <c r="P3" s="31"/>
      <c r="Q3" s="31"/>
      <c r="R3" s="31"/>
      <c r="S3" s="31"/>
      <c r="T3" s="31"/>
    </row>
    <row r="4" spans="1:20" x14ac:dyDescent="0.55000000000000004">
      <c r="A4" s="31">
        <v>1</v>
      </c>
      <c r="B4" s="5" t="s">
        <v>2143</v>
      </c>
      <c r="C4" s="31"/>
      <c r="D4" s="31"/>
      <c r="E4" s="31"/>
      <c r="F4" s="31"/>
      <c r="G4" s="31"/>
      <c r="H4" s="31"/>
      <c r="I4" s="31"/>
      <c r="J4" s="31"/>
      <c r="K4" s="31"/>
      <c r="L4" s="31"/>
      <c r="M4" s="31"/>
      <c r="N4" s="31"/>
      <c r="O4" s="31"/>
      <c r="P4" s="31"/>
      <c r="Q4" s="31"/>
      <c r="R4" s="31"/>
      <c r="S4" s="31"/>
      <c r="T4" s="31"/>
    </row>
    <row r="5" spans="1:20" x14ac:dyDescent="0.55000000000000004">
      <c r="A5" s="31">
        <v>2</v>
      </c>
      <c r="B5" s="5" t="s">
        <v>2144</v>
      </c>
      <c r="C5" s="31"/>
      <c r="D5" s="31"/>
      <c r="E5" s="31"/>
      <c r="F5" s="31"/>
      <c r="G5" s="31"/>
      <c r="H5" s="31"/>
      <c r="I5" s="31"/>
      <c r="J5" s="31"/>
      <c r="K5" s="31"/>
      <c r="L5" s="31"/>
      <c r="M5" s="31"/>
      <c r="N5" s="31"/>
      <c r="O5" s="31"/>
      <c r="P5" s="31"/>
      <c r="Q5" s="31"/>
      <c r="R5" s="31"/>
      <c r="S5" s="31"/>
      <c r="T5" s="31"/>
    </row>
    <row r="6" spans="1:20" x14ac:dyDescent="0.55000000000000004">
      <c r="A6" s="31">
        <v>3</v>
      </c>
      <c r="B6" s="5" t="s">
        <v>2145</v>
      </c>
      <c r="C6" s="31"/>
      <c r="D6" s="31"/>
      <c r="E6" s="31"/>
      <c r="F6" s="31"/>
      <c r="G6" s="31"/>
      <c r="H6" s="31"/>
      <c r="I6" s="31"/>
      <c r="J6" s="31"/>
      <c r="K6" s="31"/>
      <c r="L6" s="31"/>
      <c r="M6" s="31"/>
      <c r="N6" s="31"/>
      <c r="O6" s="31"/>
      <c r="P6" s="31"/>
      <c r="Q6" s="31"/>
      <c r="R6" s="31"/>
      <c r="S6" s="31"/>
      <c r="T6" s="31"/>
    </row>
    <row r="7" spans="1:20" x14ac:dyDescent="0.55000000000000004">
      <c r="A7" s="31">
        <v>4</v>
      </c>
      <c r="B7" s="5" t="s">
        <v>2146</v>
      </c>
      <c r="C7" s="31"/>
      <c r="D7" s="31"/>
      <c r="E7" s="31"/>
      <c r="F7" s="31"/>
      <c r="G7" s="31"/>
      <c r="H7" s="31"/>
      <c r="I7" s="31"/>
      <c r="J7" s="31"/>
      <c r="K7" s="31"/>
      <c r="L7" s="31"/>
      <c r="M7" s="31"/>
      <c r="N7" s="31"/>
      <c r="O7" s="31"/>
      <c r="P7" s="31"/>
      <c r="Q7" s="31"/>
      <c r="R7" s="31"/>
      <c r="S7" s="31"/>
      <c r="T7" s="31"/>
    </row>
    <row r="8" spans="1:20" x14ac:dyDescent="0.55000000000000004">
      <c r="A8" s="31">
        <v>5</v>
      </c>
      <c r="B8" s="5" t="s">
        <v>2147</v>
      </c>
      <c r="C8" s="31"/>
      <c r="D8" s="31"/>
      <c r="E8" s="31"/>
      <c r="F8" s="31"/>
      <c r="G8" s="31"/>
      <c r="H8" s="31"/>
      <c r="I8" s="31"/>
      <c r="J8" s="31"/>
      <c r="K8" s="31"/>
      <c r="L8" s="31"/>
      <c r="M8" s="31"/>
      <c r="N8" s="31"/>
      <c r="O8" s="31"/>
      <c r="P8" s="31"/>
      <c r="Q8" s="31"/>
      <c r="R8" s="31"/>
      <c r="S8" s="31"/>
      <c r="T8" s="31"/>
    </row>
    <row r="9" spans="1:20" x14ac:dyDescent="0.55000000000000004">
      <c r="A9" s="31">
        <v>6</v>
      </c>
      <c r="B9" s="5" t="s">
        <v>2148</v>
      </c>
      <c r="C9" s="31"/>
      <c r="D9" s="31"/>
      <c r="E9" s="31"/>
      <c r="F9" s="31"/>
      <c r="G9" s="31"/>
      <c r="H9" s="31"/>
      <c r="I9" s="31"/>
      <c r="J9" s="31"/>
      <c r="K9" s="31"/>
      <c r="L9" s="31"/>
      <c r="M9" s="31"/>
      <c r="N9" s="31"/>
      <c r="O9" s="31"/>
      <c r="P9" s="31"/>
      <c r="Q9" s="31"/>
      <c r="R9" s="31"/>
      <c r="S9" s="31"/>
      <c r="T9" s="31"/>
    </row>
    <row r="10" spans="1:20" x14ac:dyDescent="0.55000000000000004">
      <c r="A10" s="31">
        <v>7</v>
      </c>
      <c r="B10" s="5" t="s">
        <v>2149</v>
      </c>
      <c r="C10" s="31"/>
      <c r="D10" s="31"/>
      <c r="E10" s="31"/>
      <c r="F10" s="31"/>
      <c r="G10" s="31"/>
      <c r="H10" s="31"/>
      <c r="I10" s="31"/>
      <c r="J10" s="31"/>
      <c r="K10" s="31"/>
      <c r="L10" s="31"/>
      <c r="M10" s="31"/>
      <c r="N10" s="31"/>
      <c r="O10" s="31"/>
      <c r="P10" s="31"/>
      <c r="Q10" s="31"/>
      <c r="R10" s="31"/>
      <c r="S10" s="31"/>
      <c r="T10" s="31"/>
    </row>
    <row r="11" spans="1:20" x14ac:dyDescent="0.55000000000000004">
      <c r="A11" s="31">
        <v>8</v>
      </c>
      <c r="B11" s="5" t="s">
        <v>2150</v>
      </c>
      <c r="C11" s="31"/>
      <c r="D11" s="31"/>
      <c r="E11" s="31"/>
      <c r="F11" s="31"/>
      <c r="G11" s="31"/>
      <c r="H11" s="31"/>
      <c r="I11" s="31"/>
      <c r="J11" s="31"/>
      <c r="K11" s="31"/>
      <c r="L11" s="31"/>
      <c r="M11" s="31"/>
      <c r="N11" s="31"/>
      <c r="O11" s="31"/>
      <c r="P11" s="31"/>
      <c r="Q11" s="31"/>
      <c r="R11" s="31"/>
      <c r="S11" s="31"/>
      <c r="T11" s="31"/>
    </row>
    <row r="12" spans="1:20" x14ac:dyDescent="0.55000000000000004">
      <c r="A12" s="31">
        <v>9</v>
      </c>
      <c r="B12" s="5" t="s">
        <v>2151</v>
      </c>
      <c r="C12" s="31"/>
      <c r="D12" s="31"/>
      <c r="E12" s="31"/>
      <c r="F12" s="31"/>
      <c r="G12" s="31"/>
      <c r="H12" s="31"/>
      <c r="I12" s="31"/>
      <c r="J12" s="31"/>
      <c r="K12" s="31"/>
      <c r="L12" s="31"/>
      <c r="M12" s="31"/>
      <c r="N12" s="31"/>
      <c r="O12" s="31"/>
      <c r="P12" s="31"/>
      <c r="Q12" s="31"/>
      <c r="R12" s="31"/>
      <c r="S12" s="31"/>
      <c r="T12" s="31"/>
    </row>
    <row r="13" spans="1:20" x14ac:dyDescent="0.55000000000000004">
      <c r="A13" s="31">
        <v>10</v>
      </c>
      <c r="B13" s="101">
        <v>44388</v>
      </c>
      <c r="C13" s="31"/>
      <c r="D13" s="31"/>
      <c r="E13" s="31"/>
      <c r="F13" s="31"/>
      <c r="G13" s="31"/>
      <c r="H13" s="31"/>
      <c r="I13" s="31"/>
      <c r="J13" s="31"/>
      <c r="K13" s="31"/>
      <c r="L13" s="31"/>
      <c r="M13" s="31"/>
      <c r="N13" s="31"/>
      <c r="O13" s="31"/>
      <c r="P13" s="31"/>
      <c r="Q13" s="31"/>
      <c r="R13" s="31"/>
      <c r="S13" s="31"/>
      <c r="T13" s="31"/>
    </row>
    <row r="14" spans="1:20" x14ac:dyDescent="0.55000000000000004">
      <c r="A14" s="31"/>
      <c r="B14" s="31"/>
      <c r="C14" s="31"/>
      <c r="D14" s="31"/>
      <c r="E14" s="31"/>
      <c r="F14" s="31"/>
      <c r="G14" s="31"/>
      <c r="H14" s="31"/>
      <c r="I14" s="31"/>
      <c r="J14" s="31"/>
      <c r="K14" s="31"/>
      <c r="L14" s="31"/>
      <c r="M14" s="31"/>
      <c r="N14" s="31"/>
      <c r="O14" s="31"/>
      <c r="P14" s="31"/>
      <c r="Q14" s="31"/>
      <c r="R14" s="31"/>
      <c r="S14" s="31"/>
      <c r="T14" s="31"/>
    </row>
    <row r="15" spans="1:20" x14ac:dyDescent="0.55000000000000004">
      <c r="A15" s="31" t="s">
        <v>2152</v>
      </c>
      <c r="B15" s="31" t="s">
        <v>2153</v>
      </c>
      <c r="C15" s="31" t="s">
        <v>2154</v>
      </c>
      <c r="D15" s="31"/>
      <c r="E15" s="31"/>
      <c r="F15" s="31"/>
      <c r="G15" s="31"/>
      <c r="H15" s="31"/>
      <c r="I15" s="31"/>
      <c r="J15" s="31"/>
      <c r="K15" s="31"/>
      <c r="L15" s="31"/>
      <c r="M15" s="31"/>
      <c r="N15" s="31"/>
      <c r="O15" s="31"/>
      <c r="P15" s="31"/>
      <c r="Q15" s="31"/>
      <c r="R15" s="31"/>
      <c r="S15" s="31"/>
      <c r="T15" s="31"/>
    </row>
    <row r="16" spans="1:20" x14ac:dyDescent="0.55000000000000004">
      <c r="A16" s="41">
        <v>1</v>
      </c>
      <c r="B16" s="5">
        <v>1</v>
      </c>
      <c r="C16" s="5">
        <v>0.1</v>
      </c>
      <c r="D16" s="31"/>
      <c r="E16" s="31"/>
      <c r="F16" s="31"/>
      <c r="G16" s="31"/>
      <c r="H16" s="31"/>
      <c r="I16" s="31"/>
      <c r="J16" s="31"/>
      <c r="K16" s="31"/>
      <c r="L16" s="31"/>
      <c r="M16" s="31"/>
      <c r="N16" s="31"/>
      <c r="O16" s="31"/>
      <c r="P16" s="31"/>
      <c r="Q16" s="31"/>
      <c r="R16" s="31"/>
      <c r="S16" s="31"/>
      <c r="T16" s="31"/>
    </row>
    <row r="17" spans="1:20" x14ac:dyDescent="0.55000000000000004">
      <c r="A17" s="31"/>
      <c r="B17" s="31"/>
      <c r="C17" s="31"/>
      <c r="D17" s="31"/>
      <c r="E17" s="31"/>
      <c r="F17" s="31"/>
      <c r="G17" s="31"/>
      <c r="H17" s="31"/>
      <c r="I17" s="31"/>
      <c r="J17" s="31"/>
      <c r="K17" s="31"/>
      <c r="L17" s="31"/>
      <c r="M17" s="31"/>
      <c r="N17" s="31"/>
      <c r="O17" s="31"/>
      <c r="P17" s="31"/>
      <c r="Q17" s="31"/>
      <c r="R17" s="31"/>
      <c r="S17" s="31"/>
      <c r="T17" s="31"/>
    </row>
    <row r="18" spans="1:20" x14ac:dyDescent="0.55000000000000004">
      <c r="A18" s="31" t="s">
        <v>2152</v>
      </c>
      <c r="B18" s="31" t="s">
        <v>1352</v>
      </c>
      <c r="C18" s="31" t="s">
        <v>1353</v>
      </c>
      <c r="D18" s="31" t="s">
        <v>1354</v>
      </c>
      <c r="E18" s="31" t="s">
        <v>1374</v>
      </c>
      <c r="F18" s="31" t="s">
        <v>2155</v>
      </c>
      <c r="G18" s="31" t="s">
        <v>2156</v>
      </c>
      <c r="H18" s="31" t="s">
        <v>2157</v>
      </c>
      <c r="I18" s="31" t="s">
        <v>2158</v>
      </c>
      <c r="J18" s="31"/>
      <c r="K18" s="31"/>
      <c r="L18" s="31"/>
      <c r="M18" s="31"/>
      <c r="N18" s="31"/>
      <c r="O18" s="31"/>
      <c r="P18" s="31"/>
      <c r="Q18" s="31"/>
      <c r="R18" s="31"/>
      <c r="S18" s="31"/>
      <c r="T18" s="31"/>
    </row>
    <row r="19" spans="1:20" x14ac:dyDescent="0.55000000000000004">
      <c r="A19" s="41">
        <v>1</v>
      </c>
      <c r="B19" s="5" t="s">
        <v>11</v>
      </c>
      <c r="C19" s="5">
        <v>40544</v>
      </c>
      <c r="D19" s="5">
        <v>42369</v>
      </c>
      <c r="E19" s="5">
        <v>115</v>
      </c>
      <c r="F19" s="5" t="s">
        <v>2</v>
      </c>
      <c r="G19" s="5">
        <v>15</v>
      </c>
      <c r="H19" s="5" t="s">
        <v>2</v>
      </c>
      <c r="I19" s="5">
        <v>1</v>
      </c>
      <c r="J19" s="31"/>
      <c r="K19" s="31"/>
      <c r="L19" s="31"/>
      <c r="M19" s="31"/>
      <c r="N19" s="31"/>
      <c r="O19" s="31"/>
      <c r="P19" s="31"/>
      <c r="Q19" s="31"/>
      <c r="R19" s="31"/>
      <c r="S19" s="31"/>
      <c r="T19" s="31"/>
    </row>
    <row r="20" spans="1:20" x14ac:dyDescent="0.55000000000000004">
      <c r="A20" s="31"/>
      <c r="B20" s="31"/>
      <c r="C20" s="31"/>
      <c r="D20" s="31"/>
      <c r="E20" s="31"/>
      <c r="F20" s="31"/>
      <c r="G20" s="31"/>
      <c r="H20" s="31"/>
      <c r="I20" s="31"/>
      <c r="J20" s="31"/>
      <c r="K20" s="31"/>
      <c r="L20" s="31"/>
      <c r="M20" s="31"/>
      <c r="N20" s="31"/>
      <c r="O20" s="31"/>
      <c r="P20" s="31"/>
      <c r="Q20" s="31"/>
      <c r="R20" s="31"/>
      <c r="S20" s="31"/>
      <c r="T20" s="31"/>
    </row>
    <row r="21" spans="1:20" x14ac:dyDescent="0.55000000000000004">
      <c r="A21" s="31" t="s">
        <v>2159</v>
      </c>
      <c r="B21" s="31" t="s">
        <v>2160</v>
      </c>
      <c r="C21" s="31" t="s">
        <v>2161</v>
      </c>
      <c r="D21" s="31" t="s">
        <v>2162</v>
      </c>
      <c r="E21" s="31" t="s">
        <v>2163</v>
      </c>
      <c r="F21" s="31" t="s">
        <v>2164</v>
      </c>
      <c r="G21" s="31" t="s">
        <v>2165</v>
      </c>
      <c r="H21" s="31" t="s">
        <v>2166</v>
      </c>
      <c r="I21" s="31" t="s">
        <v>2167</v>
      </c>
      <c r="J21" s="31" t="s">
        <v>2168</v>
      </c>
      <c r="K21" s="31" t="s">
        <v>2169</v>
      </c>
      <c r="L21" s="31" t="s">
        <v>2170</v>
      </c>
      <c r="M21" s="31" t="s">
        <v>2171</v>
      </c>
      <c r="N21" s="31" t="s">
        <v>2172</v>
      </c>
      <c r="O21" s="31" t="s">
        <v>2173</v>
      </c>
      <c r="P21" s="31" t="s">
        <v>2174</v>
      </c>
      <c r="Q21" s="31" t="s">
        <v>2175</v>
      </c>
      <c r="R21" s="31" t="s">
        <v>2176</v>
      </c>
      <c r="S21" s="31" t="s">
        <v>2177</v>
      </c>
      <c r="T21" s="31"/>
    </row>
    <row r="22" spans="1:20" x14ac:dyDescent="0.55000000000000004">
      <c r="A22" s="41">
        <v>1</v>
      </c>
      <c r="B22" s="5">
        <v>1</v>
      </c>
      <c r="C22" s="5">
        <v>1</v>
      </c>
      <c r="D22" s="5">
        <v>1</v>
      </c>
      <c r="E22" s="5">
        <v>1</v>
      </c>
      <c r="F22" s="5">
        <v>1</v>
      </c>
      <c r="G22" s="5">
        <v>1</v>
      </c>
      <c r="H22" s="5">
        <v>1</v>
      </c>
      <c r="I22" s="5">
        <v>1</v>
      </c>
      <c r="J22" s="5">
        <v>1</v>
      </c>
      <c r="K22" s="5">
        <v>1</v>
      </c>
      <c r="L22" s="5">
        <v>1</v>
      </c>
      <c r="M22" s="5">
        <v>1</v>
      </c>
      <c r="N22" s="5">
        <v>1</v>
      </c>
      <c r="O22" s="5">
        <v>1</v>
      </c>
      <c r="P22" s="5">
        <v>1</v>
      </c>
      <c r="Q22" s="5">
        <v>1</v>
      </c>
      <c r="R22" s="5">
        <v>1</v>
      </c>
      <c r="S22" s="5">
        <v>1</v>
      </c>
      <c r="T22" s="31"/>
    </row>
    <row r="23" spans="1:20" x14ac:dyDescent="0.55000000000000004">
      <c r="A23" s="31"/>
      <c r="B23" s="31"/>
      <c r="C23" s="31"/>
      <c r="D23" s="31"/>
      <c r="E23" s="31"/>
      <c r="F23" s="31"/>
      <c r="G23" s="31"/>
      <c r="H23" s="31"/>
      <c r="I23" s="31"/>
      <c r="J23" s="31"/>
      <c r="K23" s="31"/>
      <c r="L23" s="31"/>
      <c r="M23" s="31"/>
      <c r="N23" s="31"/>
      <c r="O23" s="31"/>
      <c r="P23" s="31"/>
      <c r="Q23" s="31"/>
      <c r="R23" s="31"/>
      <c r="S23" s="31"/>
      <c r="T23" s="31"/>
    </row>
    <row r="24" spans="1:20" x14ac:dyDescent="0.55000000000000004">
      <c r="A24" s="31" t="s">
        <v>2178</v>
      </c>
      <c r="B24" s="31" t="s">
        <v>2179</v>
      </c>
      <c r="C24" s="31" t="s">
        <v>2180</v>
      </c>
      <c r="D24" s="31" t="s">
        <v>2181</v>
      </c>
      <c r="E24" s="31" t="s">
        <v>2182</v>
      </c>
      <c r="F24" s="31" t="s">
        <v>2183</v>
      </c>
      <c r="G24" s="31" t="s">
        <v>2184</v>
      </c>
      <c r="H24" s="31" t="s">
        <v>2185</v>
      </c>
      <c r="I24" s="31" t="s">
        <v>2186</v>
      </c>
      <c r="J24" s="31" t="s">
        <v>2187</v>
      </c>
      <c r="K24" s="31" t="s">
        <v>2188</v>
      </c>
      <c r="L24" s="31" t="s">
        <v>2179</v>
      </c>
      <c r="M24" s="31" t="s">
        <v>2180</v>
      </c>
      <c r="N24" s="31" t="s">
        <v>2181</v>
      </c>
      <c r="O24" s="31" t="s">
        <v>2182</v>
      </c>
      <c r="P24" s="31" t="s">
        <v>2183</v>
      </c>
      <c r="Q24" s="31" t="s">
        <v>2184</v>
      </c>
      <c r="R24" s="31" t="s">
        <v>2185</v>
      </c>
      <c r="S24" s="31" t="s">
        <v>2186</v>
      </c>
      <c r="T24" s="31"/>
    </row>
    <row r="25" spans="1:20" x14ac:dyDescent="0.55000000000000004">
      <c r="A25" s="41">
        <v>1</v>
      </c>
      <c r="B25" s="5">
        <v>1E-3</v>
      </c>
      <c r="C25" s="5">
        <v>1E-3</v>
      </c>
      <c r="D25" s="5">
        <v>1E-3</v>
      </c>
      <c r="E25" s="5">
        <v>1E-3</v>
      </c>
      <c r="F25" s="5">
        <v>1E-3</v>
      </c>
      <c r="G25" s="5">
        <v>1E-3</v>
      </c>
      <c r="H25" s="5">
        <v>1E-3</v>
      </c>
      <c r="I25" s="5">
        <v>1E-3</v>
      </c>
      <c r="J25" s="5">
        <v>1E-3</v>
      </c>
      <c r="K25" s="5">
        <v>1E-3</v>
      </c>
      <c r="L25" s="5">
        <v>1E-3</v>
      </c>
      <c r="M25" s="5">
        <v>1E-3</v>
      </c>
      <c r="N25" s="5">
        <v>1E-3</v>
      </c>
      <c r="O25" s="5">
        <v>1E-3</v>
      </c>
      <c r="P25" s="5">
        <v>1E-3</v>
      </c>
      <c r="Q25" s="5">
        <v>1E-3</v>
      </c>
      <c r="R25" s="5">
        <v>1E-3</v>
      </c>
      <c r="S25" s="5">
        <v>1E-3</v>
      </c>
      <c r="T25" s="31"/>
    </row>
    <row r="26" spans="1:20" x14ac:dyDescent="0.55000000000000004">
      <c r="A26" s="31"/>
      <c r="B26" s="31"/>
      <c r="C26" s="31"/>
      <c r="D26" s="31"/>
      <c r="E26" s="31"/>
      <c r="F26" s="31"/>
      <c r="G26" s="31"/>
      <c r="H26" s="31"/>
      <c r="I26" s="31"/>
      <c r="J26" s="31"/>
      <c r="K26" s="31"/>
      <c r="L26" s="31"/>
      <c r="M26" s="31"/>
      <c r="N26" s="31"/>
      <c r="O26" s="31"/>
      <c r="P26" s="31"/>
      <c r="Q26" s="31"/>
      <c r="R26" s="31"/>
      <c r="S26" s="31"/>
      <c r="T26" s="31"/>
    </row>
    <row r="27" spans="1:20" x14ac:dyDescent="0.55000000000000004">
      <c r="A27" s="31" t="s">
        <v>2189</v>
      </c>
      <c r="B27" s="31" t="s">
        <v>2190</v>
      </c>
      <c r="C27" s="31" t="s">
        <v>2194</v>
      </c>
      <c r="D27" s="31" t="s">
        <v>2195</v>
      </c>
      <c r="E27" s="31" t="s">
        <v>2196</v>
      </c>
      <c r="F27" s="31"/>
      <c r="G27" s="31"/>
      <c r="H27" s="31"/>
      <c r="I27" s="31"/>
      <c r="J27" s="31"/>
      <c r="K27" s="31"/>
      <c r="L27" s="31"/>
      <c r="M27" s="31"/>
      <c r="N27" s="31"/>
      <c r="O27" s="31"/>
      <c r="P27" s="31"/>
      <c r="Q27" s="31"/>
      <c r="R27" s="31"/>
      <c r="S27" s="31"/>
      <c r="T27" s="31"/>
    </row>
    <row r="28" spans="1:20" x14ac:dyDescent="0.55000000000000004">
      <c r="A28" s="41">
        <v>1</v>
      </c>
      <c r="B28" s="5">
        <v>20000</v>
      </c>
      <c r="C28" s="41"/>
      <c r="D28" s="41"/>
      <c r="E28" s="41"/>
      <c r="F28" s="31"/>
      <c r="G28" s="31"/>
      <c r="H28" s="31"/>
      <c r="I28" s="31"/>
      <c r="J28" s="31"/>
      <c r="K28" s="31"/>
      <c r="L28" s="31"/>
      <c r="M28" s="31"/>
      <c r="N28" s="31"/>
      <c r="O28" s="31"/>
      <c r="P28" s="31"/>
      <c r="Q28" s="31"/>
      <c r="R28" s="31"/>
      <c r="S28" s="31"/>
      <c r="T28" s="31"/>
    </row>
    <row r="29" spans="1:20" x14ac:dyDescent="0.55000000000000004">
      <c r="A29" s="31"/>
      <c r="B29" s="31"/>
      <c r="C29" s="31"/>
      <c r="D29" s="31"/>
      <c r="E29" s="31"/>
      <c r="F29" s="31"/>
      <c r="G29" s="31"/>
      <c r="H29" s="31"/>
      <c r="I29" s="31"/>
      <c r="J29" s="31"/>
      <c r="K29" s="31"/>
      <c r="L29" s="31"/>
      <c r="M29" s="31"/>
      <c r="N29" s="31"/>
      <c r="O29" s="31"/>
      <c r="P29" s="31"/>
      <c r="Q29" s="31"/>
      <c r="R29" s="31"/>
      <c r="S29" s="31"/>
      <c r="T29" s="31"/>
    </row>
    <row r="30" spans="1:20" x14ac:dyDescent="0.55000000000000004">
      <c r="A30" s="31" t="s">
        <v>2191</v>
      </c>
      <c r="B30" s="31"/>
      <c r="C30" s="31"/>
      <c r="D30" s="31"/>
      <c r="E30" s="31"/>
      <c r="F30" s="31"/>
      <c r="G30" s="31"/>
      <c r="H30" s="31"/>
      <c r="I30" s="31"/>
      <c r="J30" s="31"/>
      <c r="K30" s="31"/>
      <c r="L30" s="31"/>
      <c r="M30" s="31"/>
      <c r="N30" s="31"/>
      <c r="O30" s="31"/>
      <c r="P30" s="31"/>
      <c r="Q30" s="31"/>
      <c r="R30" s="31"/>
      <c r="S30" s="31"/>
      <c r="T30" s="31"/>
    </row>
    <row r="31" spans="1:20" x14ac:dyDescent="0.55000000000000004">
      <c r="A31" s="41">
        <v>1</v>
      </c>
      <c r="B31" s="5" t="s">
        <v>2192</v>
      </c>
      <c r="C31" s="31"/>
      <c r="D31" s="31"/>
      <c r="E31" s="31"/>
      <c r="F31" s="31"/>
      <c r="G31" s="31"/>
      <c r="H31" s="31"/>
      <c r="I31" s="31"/>
      <c r="J31" s="31"/>
      <c r="K31" s="31"/>
      <c r="L31" s="31"/>
      <c r="M31" s="31"/>
      <c r="N31" s="31"/>
      <c r="O31" s="31"/>
      <c r="P31" s="31"/>
      <c r="Q31" s="31"/>
      <c r="R31" s="31"/>
      <c r="S31" s="31"/>
      <c r="T31" s="31"/>
    </row>
    <row r="32" spans="1:20" x14ac:dyDescent="0.55000000000000004">
      <c r="A32" s="31"/>
      <c r="B32" s="31"/>
      <c r="C32" s="31"/>
      <c r="D32" s="31"/>
      <c r="E32" s="31"/>
      <c r="F32" s="31"/>
      <c r="G32" s="31"/>
      <c r="H32" s="31"/>
      <c r="I32" s="31"/>
      <c r="J32" s="31"/>
      <c r="K32" s="31"/>
      <c r="L32" s="31"/>
      <c r="M32" s="31"/>
      <c r="N32" s="31"/>
      <c r="O32" s="31"/>
      <c r="P32" s="31"/>
      <c r="Q32" s="31"/>
      <c r="R32" s="31"/>
      <c r="S32" s="31"/>
      <c r="T32" s="31"/>
    </row>
    <row r="36" spans="5:5" x14ac:dyDescent="0.55000000000000004">
      <c r="E36" t="s">
        <v>1614</v>
      </c>
    </row>
    <row r="37" spans="5:5" x14ac:dyDescent="0.55000000000000004">
      <c r="E37" s="66" t="s">
        <v>1613</v>
      </c>
    </row>
  </sheetData>
  <hyperlinks>
    <hyperlink ref="E37" location="'Index of Sheets'!A1" display="'Index of Sheets'!A1" xr:uid="{E275B7A4-F62B-4F84-BA1B-AB9CE6A31CE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243840</xdr:colOff>
                    <xdr:row>34</xdr:row>
                    <xdr:rowOff>64770</xdr:rowOff>
                  </from>
                  <to>
                    <xdr:col>3</xdr:col>
                    <xdr:colOff>156210</xdr:colOff>
                    <xdr:row>38</xdr:row>
                    <xdr:rowOff>83820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I17"/>
  <sheetViews>
    <sheetView workbookViewId="0">
      <selection activeCell="I3" sqref="I3"/>
    </sheetView>
  </sheetViews>
  <sheetFormatPr defaultRowHeight="14.4" x14ac:dyDescent="0.55000000000000004"/>
  <cols>
    <col min="1" max="1" width="21.578125" customWidth="1"/>
    <col min="2" max="2" width="35.15625" customWidth="1"/>
    <col min="3" max="3" width="16.68359375" customWidth="1"/>
    <col min="4" max="4" width="23.62890625" customWidth="1"/>
  </cols>
  <sheetData>
    <row r="1" spans="1:9" x14ac:dyDescent="0.55000000000000004">
      <c r="A1" s="58" t="s">
        <v>1508</v>
      </c>
      <c r="B1" s="58"/>
      <c r="C1" s="58"/>
      <c r="D1" s="58"/>
    </row>
    <row r="2" spans="1:9" x14ac:dyDescent="0.55000000000000004">
      <c r="A2" s="5" t="s">
        <v>2</v>
      </c>
      <c r="B2" s="58"/>
      <c r="C2" s="58"/>
      <c r="D2" s="58"/>
      <c r="I2" t="s">
        <v>1614</v>
      </c>
    </row>
    <row r="3" spans="1:9" x14ac:dyDescent="0.55000000000000004">
      <c r="A3" s="59" t="s">
        <v>1499</v>
      </c>
      <c r="B3" s="59" t="s">
        <v>1509</v>
      </c>
      <c r="C3" s="58"/>
      <c r="D3" s="58"/>
      <c r="I3" s="66" t="s">
        <v>1613</v>
      </c>
    </row>
    <row r="4" spans="1:9" x14ac:dyDescent="0.55000000000000004">
      <c r="A4" s="5">
        <v>1</v>
      </c>
      <c r="B4" s="5">
        <v>1</v>
      </c>
      <c r="C4" s="58"/>
      <c r="D4" s="58"/>
    </row>
    <row r="5" spans="1:9" x14ac:dyDescent="0.55000000000000004">
      <c r="A5" s="59" t="s">
        <v>1500</v>
      </c>
      <c r="B5" s="59" t="s">
        <v>1501</v>
      </c>
      <c r="C5" s="59" t="s">
        <v>1502</v>
      </c>
      <c r="D5" s="58"/>
    </row>
    <row r="6" spans="1:9" x14ac:dyDescent="0.55000000000000004">
      <c r="A6" s="5">
        <v>31</v>
      </c>
      <c r="B6" s="5">
        <v>1.5</v>
      </c>
      <c r="C6" s="5">
        <v>1</v>
      </c>
      <c r="D6" s="58"/>
      <c r="E6" t="s">
        <v>1515</v>
      </c>
    </row>
    <row r="7" spans="1:9" x14ac:dyDescent="0.55000000000000004">
      <c r="A7" s="59" t="s">
        <v>1503</v>
      </c>
      <c r="B7" s="60" t="s">
        <v>1510</v>
      </c>
      <c r="C7" s="58"/>
      <c r="D7" s="58"/>
    </row>
    <row r="8" spans="1:9" x14ac:dyDescent="0.55000000000000004">
      <c r="A8" s="5">
        <v>0</v>
      </c>
      <c r="B8" s="5">
        <v>2</v>
      </c>
      <c r="C8" s="58"/>
      <c r="D8" s="58"/>
    </row>
    <row r="9" spans="1:9" x14ac:dyDescent="0.55000000000000004">
      <c r="A9" s="59" t="s">
        <v>1504</v>
      </c>
      <c r="B9" s="59" t="s">
        <v>1505</v>
      </c>
      <c r="C9" s="59" t="s">
        <v>1506</v>
      </c>
      <c r="D9" s="59" t="s">
        <v>1507</v>
      </c>
      <c r="E9" s="18" t="s">
        <v>1514</v>
      </c>
    </row>
    <row r="10" spans="1:9" x14ac:dyDescent="0.55000000000000004">
      <c r="A10" s="5">
        <v>1</v>
      </c>
      <c r="B10" s="5">
        <v>1</v>
      </c>
      <c r="C10" s="5">
        <v>1.5</v>
      </c>
      <c r="D10" s="5">
        <v>0.25</v>
      </c>
      <c r="E10" t="s">
        <v>1516</v>
      </c>
    </row>
    <row r="11" spans="1:9" x14ac:dyDescent="0.55000000000000004">
      <c r="A11" s="58"/>
      <c r="B11" s="58"/>
      <c r="C11" s="58"/>
      <c r="D11" s="58"/>
    </row>
    <row r="15" spans="1:9" x14ac:dyDescent="0.55000000000000004">
      <c r="B15" s="2" t="s">
        <v>1513</v>
      </c>
    </row>
    <row r="16" spans="1:9" x14ac:dyDescent="0.55000000000000004">
      <c r="B16" t="s">
        <v>1511</v>
      </c>
    </row>
    <row r="17" spans="2:2" x14ac:dyDescent="0.55000000000000004">
      <c r="B17" t="s">
        <v>1512</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297180</xdr:colOff>
                    <xdr:row>0</xdr:row>
                    <xdr:rowOff>91440</xdr:rowOff>
                  </from>
                  <to>
                    <xdr:col>7</xdr:col>
                    <xdr:colOff>45720</xdr:colOff>
                    <xdr:row>4</xdr:row>
                    <xdr:rowOff>110490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workbookViewId="0"/>
  </sheetViews>
  <sheetFormatPr defaultRowHeight="14.4" x14ac:dyDescent="0.55000000000000004"/>
  <sheetData>
    <row r="1" spans="1:24" x14ac:dyDescent="0.55000000000000004">
      <c r="A1" s="78" t="s">
        <v>1560</v>
      </c>
      <c r="B1" s="47"/>
      <c r="C1" s="47"/>
      <c r="D1" s="47"/>
      <c r="E1" s="47"/>
      <c r="F1" s="47"/>
      <c r="G1" s="47"/>
      <c r="H1" s="47"/>
      <c r="I1" s="47"/>
      <c r="J1" s="47"/>
      <c r="K1" s="47"/>
      <c r="L1" s="47"/>
      <c r="M1" s="47"/>
      <c r="N1" s="47"/>
      <c r="O1" s="47"/>
      <c r="P1" s="47"/>
      <c r="Q1" s="47"/>
      <c r="R1" s="47"/>
      <c r="S1" s="47"/>
      <c r="T1" s="47"/>
      <c r="U1" s="47"/>
      <c r="V1" s="47"/>
      <c r="X1" t="s">
        <v>1614</v>
      </c>
    </row>
    <row r="2" spans="1:24" x14ac:dyDescent="0.55000000000000004">
      <c r="A2" s="5" t="s">
        <v>2</v>
      </c>
      <c r="B2" s="47"/>
      <c r="C2" s="47"/>
      <c r="D2" s="47"/>
      <c r="E2" s="47"/>
      <c r="F2" s="47"/>
      <c r="G2" s="47"/>
      <c r="H2" s="47"/>
      <c r="I2" s="47"/>
      <c r="J2" s="47"/>
      <c r="K2" s="47"/>
      <c r="L2" s="47"/>
      <c r="M2" s="47"/>
      <c r="N2" s="47"/>
      <c r="O2" s="47"/>
      <c r="P2" s="47"/>
      <c r="Q2" s="47"/>
      <c r="R2" s="47"/>
      <c r="S2" s="47"/>
      <c r="T2" s="47"/>
      <c r="U2" s="47"/>
      <c r="V2" s="47"/>
      <c r="X2" s="66" t="s">
        <v>1613</v>
      </c>
    </row>
    <row r="3" spans="1:24" x14ac:dyDescent="0.55000000000000004">
      <c r="A3" s="78" t="s">
        <v>1682</v>
      </c>
      <c r="B3" s="47" t="s">
        <v>1681</v>
      </c>
      <c r="C3" s="47"/>
      <c r="D3" s="47"/>
      <c r="E3" s="47"/>
      <c r="F3" s="47"/>
      <c r="G3" s="47"/>
      <c r="H3" s="47"/>
      <c r="I3" s="47"/>
      <c r="J3" s="47"/>
      <c r="K3" s="47"/>
      <c r="L3" s="47"/>
      <c r="M3" s="47"/>
      <c r="N3" s="47"/>
      <c r="O3" s="47"/>
      <c r="P3" s="47"/>
      <c r="Q3" s="47"/>
      <c r="R3" s="47"/>
      <c r="S3" s="47"/>
      <c r="T3" s="47"/>
      <c r="U3" s="47"/>
      <c r="V3" s="47"/>
    </row>
    <row r="4" spans="1:24" x14ac:dyDescent="0.55000000000000004">
      <c r="A4" s="5">
        <v>1</v>
      </c>
      <c r="B4" s="5">
        <v>1</v>
      </c>
      <c r="C4" s="47"/>
      <c r="D4" s="47"/>
      <c r="E4" s="47"/>
      <c r="F4" s="47"/>
      <c r="G4" s="47"/>
      <c r="H4" s="47"/>
      <c r="I4" s="47"/>
      <c r="J4" s="47"/>
      <c r="K4" s="47"/>
      <c r="L4" s="47"/>
      <c r="M4" s="47"/>
      <c r="N4" s="47"/>
      <c r="O4" s="47"/>
      <c r="P4" s="47"/>
      <c r="Q4" s="47"/>
      <c r="R4" s="47"/>
      <c r="S4" s="47"/>
      <c r="T4" s="47"/>
      <c r="U4" s="47"/>
      <c r="V4" s="47"/>
    </row>
    <row r="5" spans="1:24" x14ac:dyDescent="0.55000000000000004">
      <c r="A5" s="33" t="s">
        <v>1561</v>
      </c>
      <c r="B5" s="4"/>
      <c r="C5" s="4"/>
      <c r="D5" s="4"/>
      <c r="E5" s="4"/>
      <c r="F5" s="4"/>
      <c r="G5" s="4"/>
      <c r="H5" s="4"/>
      <c r="I5" s="4"/>
      <c r="J5" s="4"/>
      <c r="K5" s="4"/>
      <c r="L5" s="4"/>
      <c r="M5" s="4"/>
      <c r="N5" s="4"/>
      <c r="O5" s="4"/>
      <c r="P5" s="4"/>
      <c r="Q5" s="4"/>
      <c r="R5" s="4"/>
      <c r="S5" s="4"/>
      <c r="T5" s="4"/>
      <c r="U5" s="4"/>
      <c r="V5" s="4"/>
    </row>
    <row r="6" spans="1:24" x14ac:dyDescent="0.55000000000000004">
      <c r="A6" s="5">
        <v>1</v>
      </c>
      <c r="B6" s="4"/>
      <c r="C6" s="4"/>
      <c r="D6" s="4"/>
      <c r="E6" s="4"/>
      <c r="F6" s="4"/>
      <c r="G6" s="4"/>
      <c r="H6" s="4"/>
      <c r="I6" s="4"/>
      <c r="J6" s="4"/>
      <c r="K6" s="4"/>
      <c r="L6" s="4"/>
      <c r="M6" s="4"/>
      <c r="N6" s="4"/>
      <c r="O6" s="4"/>
      <c r="P6" s="4"/>
      <c r="Q6" s="4"/>
      <c r="R6" s="4"/>
      <c r="S6" s="4"/>
      <c r="T6" s="4"/>
      <c r="U6" s="4"/>
      <c r="V6" s="4"/>
    </row>
    <row r="7" spans="1:24" x14ac:dyDescent="0.55000000000000004">
      <c r="A7" s="33" t="s">
        <v>1562</v>
      </c>
      <c r="B7" s="4"/>
      <c r="C7" s="4"/>
      <c r="D7" s="4"/>
      <c r="E7" s="4"/>
      <c r="F7" s="4"/>
      <c r="G7" s="4"/>
      <c r="H7" s="4"/>
      <c r="I7" s="4"/>
      <c r="J7" s="4"/>
      <c r="K7" s="4"/>
      <c r="L7" s="4"/>
      <c r="M7" s="4"/>
      <c r="N7" s="4"/>
      <c r="O7" s="4"/>
      <c r="P7" s="4"/>
      <c r="Q7" s="4"/>
      <c r="R7" s="4"/>
      <c r="S7" s="4"/>
      <c r="T7" s="4"/>
      <c r="U7" s="4"/>
      <c r="V7" s="4"/>
    </row>
    <row r="8" spans="1:24" x14ac:dyDescent="0.55000000000000004">
      <c r="A8" s="5">
        <v>1</v>
      </c>
      <c r="B8" s="4"/>
      <c r="C8" s="4"/>
      <c r="D8" s="4"/>
      <c r="E8" s="4"/>
      <c r="F8" s="4"/>
      <c r="G8" s="4"/>
      <c r="H8" s="4"/>
      <c r="I8" s="4"/>
      <c r="J8" s="4"/>
      <c r="K8" s="4"/>
      <c r="L8" s="4"/>
      <c r="M8" s="4"/>
      <c r="N8" s="4"/>
      <c r="O8" s="4"/>
      <c r="P8" s="4"/>
      <c r="Q8" s="4"/>
      <c r="R8" s="4"/>
      <c r="S8" s="4"/>
      <c r="T8" s="4"/>
      <c r="U8" s="4"/>
      <c r="V8" s="4"/>
    </row>
    <row r="9" spans="1:24" x14ac:dyDescent="0.55000000000000004">
      <c r="A9" s="33" t="s">
        <v>1563</v>
      </c>
      <c r="B9" s="4"/>
      <c r="C9" s="4"/>
      <c r="D9" s="4"/>
      <c r="E9" s="4"/>
      <c r="F9" s="4"/>
      <c r="G9" s="4"/>
      <c r="H9" s="4"/>
      <c r="I9" s="4"/>
      <c r="J9" s="4"/>
      <c r="K9" s="4"/>
      <c r="L9" s="4"/>
      <c r="M9" s="4"/>
      <c r="N9" s="4"/>
      <c r="O9" s="4"/>
      <c r="P9" s="4"/>
      <c r="Q9" s="4"/>
      <c r="R9" s="4"/>
      <c r="S9" s="4"/>
      <c r="T9" s="4"/>
      <c r="U9" s="4"/>
      <c r="V9" s="4"/>
    </row>
    <row r="10" spans="1:24" x14ac:dyDescent="0.55000000000000004">
      <c r="A10" s="5">
        <v>1</v>
      </c>
      <c r="B10" s="5"/>
      <c r="C10" s="5"/>
      <c r="D10" s="4"/>
      <c r="E10" s="4"/>
      <c r="F10" s="4"/>
      <c r="G10" s="4"/>
      <c r="H10" s="4"/>
      <c r="I10" s="4"/>
      <c r="J10" s="4"/>
      <c r="K10" s="4"/>
      <c r="L10" s="4"/>
      <c r="M10" s="4"/>
      <c r="N10" s="4"/>
      <c r="O10" s="4"/>
      <c r="P10" s="4"/>
      <c r="Q10" s="4"/>
      <c r="R10" s="4"/>
      <c r="S10" s="4"/>
      <c r="T10" s="4"/>
      <c r="U10" s="4"/>
      <c r="V10" s="4"/>
    </row>
    <row r="11" spans="1:24" x14ac:dyDescent="0.55000000000000004">
      <c r="A11" s="33" t="s">
        <v>1564</v>
      </c>
      <c r="B11" s="4"/>
      <c r="C11" s="4"/>
      <c r="D11" s="4"/>
      <c r="E11" s="4"/>
      <c r="F11" s="4"/>
      <c r="G11" s="4"/>
      <c r="H11" s="4"/>
      <c r="I11" s="4"/>
      <c r="J11" s="4"/>
      <c r="K11" s="4"/>
      <c r="L11" s="4"/>
      <c r="M11" s="4"/>
      <c r="N11" s="4"/>
      <c r="O11" s="4"/>
      <c r="P11" s="4"/>
      <c r="Q11" s="4"/>
      <c r="R11" s="4"/>
      <c r="S11" s="4"/>
      <c r="T11" s="4"/>
      <c r="U11" s="4"/>
      <c r="V11" s="4"/>
    </row>
    <row r="12" spans="1:24" x14ac:dyDescent="0.55000000000000004">
      <c r="A12" s="5">
        <v>800</v>
      </c>
      <c r="B12" s="5"/>
      <c r="C12" s="5"/>
      <c r="D12" s="4"/>
      <c r="E12" s="4"/>
      <c r="F12" s="4"/>
      <c r="G12" s="4"/>
      <c r="H12" s="4"/>
      <c r="I12" s="4"/>
      <c r="J12" s="4"/>
      <c r="K12" s="4"/>
      <c r="L12" s="4"/>
      <c r="M12" s="4"/>
      <c r="N12" s="4"/>
      <c r="O12" s="4"/>
      <c r="P12" s="4"/>
      <c r="Q12" s="4"/>
      <c r="R12" s="4"/>
      <c r="S12" s="4"/>
      <c r="T12" s="4"/>
      <c r="U12" s="4"/>
      <c r="V12" s="4"/>
    </row>
    <row r="13" spans="1:24" x14ac:dyDescent="0.55000000000000004">
      <c r="A13" s="33" t="s">
        <v>1565</v>
      </c>
      <c r="B13" s="4"/>
      <c r="C13" s="4"/>
      <c r="D13" s="4"/>
      <c r="E13" s="4"/>
      <c r="F13" s="4"/>
      <c r="G13" s="4"/>
      <c r="H13" s="4"/>
      <c r="I13" s="4"/>
      <c r="J13" s="4"/>
      <c r="K13" s="4"/>
      <c r="L13" s="4"/>
      <c r="M13" s="4"/>
      <c r="N13" s="4"/>
      <c r="O13" s="4"/>
      <c r="P13" s="4"/>
      <c r="Q13" s="4"/>
      <c r="R13" s="4"/>
      <c r="S13" s="4"/>
      <c r="T13" s="4"/>
      <c r="U13" s="4"/>
      <c r="V13" s="4"/>
    </row>
    <row r="14" spans="1:24" x14ac:dyDescent="0.55000000000000004">
      <c r="A14" s="5">
        <v>1</v>
      </c>
      <c r="B14" s="4"/>
      <c r="C14" s="4"/>
      <c r="D14" s="4"/>
      <c r="E14" s="4"/>
      <c r="F14" s="4"/>
      <c r="G14" s="4"/>
      <c r="H14" s="4"/>
      <c r="I14" s="4"/>
      <c r="J14" s="4"/>
      <c r="K14" s="4"/>
      <c r="L14" s="4"/>
      <c r="M14" s="4"/>
      <c r="N14" s="4"/>
      <c r="O14" s="4"/>
      <c r="P14" s="4"/>
      <c r="Q14" s="4"/>
      <c r="R14" s="4"/>
      <c r="S14" s="4"/>
      <c r="T14" s="4"/>
      <c r="U14" s="4"/>
      <c r="V14" s="4"/>
    </row>
    <row r="15" spans="1:24" x14ac:dyDescent="0.55000000000000004">
      <c r="A15" s="4" t="s">
        <v>1566</v>
      </c>
      <c r="B15" s="4" t="s">
        <v>1567</v>
      </c>
      <c r="C15" s="4" t="s">
        <v>1568</v>
      </c>
      <c r="D15" s="4" t="s">
        <v>1569</v>
      </c>
      <c r="E15" s="4" t="s">
        <v>1570</v>
      </c>
      <c r="F15" s="4" t="s">
        <v>1571</v>
      </c>
      <c r="G15" s="4" t="s">
        <v>1572</v>
      </c>
      <c r="H15" s="4" t="s">
        <v>1573</v>
      </c>
      <c r="I15" s="33" t="s">
        <v>1574</v>
      </c>
      <c r="J15" s="4"/>
      <c r="K15" s="4"/>
      <c r="L15" s="4"/>
      <c r="M15" s="4"/>
      <c r="N15" s="4"/>
      <c r="O15" s="4"/>
      <c r="P15" s="4"/>
      <c r="Q15" s="4"/>
      <c r="R15" s="4"/>
      <c r="S15" s="4"/>
      <c r="T15" s="4"/>
      <c r="U15" s="4"/>
      <c r="V15" s="4"/>
    </row>
    <row r="16" spans="1:24" x14ac:dyDescent="0.55000000000000004">
      <c r="A16" s="5">
        <v>2</v>
      </c>
      <c r="B16" s="5">
        <v>1.5707960000000001</v>
      </c>
      <c r="C16" s="5">
        <v>0.4</v>
      </c>
      <c r="D16" s="5">
        <v>0</v>
      </c>
      <c r="E16" s="5">
        <v>12.5</v>
      </c>
      <c r="F16" s="5">
        <v>0</v>
      </c>
      <c r="G16" s="5">
        <v>25</v>
      </c>
      <c r="H16" s="5">
        <v>0.05</v>
      </c>
      <c r="I16" s="4"/>
      <c r="J16" s="4"/>
      <c r="K16" s="4"/>
      <c r="L16" s="4"/>
      <c r="M16" s="4"/>
      <c r="N16" s="4"/>
      <c r="O16" s="4"/>
      <c r="P16" s="4"/>
      <c r="Q16" s="4"/>
      <c r="R16" s="4"/>
      <c r="S16" s="4"/>
      <c r="T16" s="4"/>
      <c r="U16" s="4"/>
      <c r="V16" s="4"/>
    </row>
    <row r="17" spans="1:22" x14ac:dyDescent="0.55000000000000004">
      <c r="A17" s="4" t="s">
        <v>1575</v>
      </c>
      <c r="B17" s="4" t="s">
        <v>1576</v>
      </c>
      <c r="C17" s="4" t="s">
        <v>1577</v>
      </c>
      <c r="D17" s="4" t="s">
        <v>1578</v>
      </c>
      <c r="E17" s="4" t="s">
        <v>1579</v>
      </c>
      <c r="F17" s="4" t="s">
        <v>1580</v>
      </c>
      <c r="G17" s="4" t="s">
        <v>1581</v>
      </c>
      <c r="H17" s="4" t="s">
        <v>1582</v>
      </c>
      <c r="I17" s="4" t="s">
        <v>1583</v>
      </c>
      <c r="J17" s="4" t="s">
        <v>1571</v>
      </c>
      <c r="K17" s="4" t="s">
        <v>1572</v>
      </c>
      <c r="L17" s="4" t="s">
        <v>1573</v>
      </c>
      <c r="M17" s="33" t="s">
        <v>1584</v>
      </c>
      <c r="N17" s="4"/>
      <c r="O17" s="4"/>
      <c r="P17" s="4"/>
      <c r="Q17" s="4"/>
      <c r="R17" s="4"/>
      <c r="S17" s="4"/>
      <c r="T17" s="4"/>
      <c r="U17" s="4"/>
      <c r="V17" s="4"/>
    </row>
    <row r="18" spans="1:22" x14ac:dyDescent="0.55000000000000004">
      <c r="A18" s="4"/>
      <c r="B18" s="4"/>
      <c r="C18" s="4"/>
      <c r="D18" s="4"/>
      <c r="E18" s="4"/>
      <c r="F18" s="4"/>
      <c r="G18" s="4"/>
      <c r="H18" s="4"/>
      <c r="I18" s="4"/>
      <c r="J18" s="4"/>
      <c r="K18" s="4"/>
      <c r="L18" s="4"/>
      <c r="M18" s="4"/>
      <c r="N18" s="4"/>
      <c r="O18" s="4"/>
      <c r="P18" s="4"/>
      <c r="Q18" s="4"/>
      <c r="R18" s="4"/>
      <c r="S18" s="4"/>
      <c r="T18" s="4"/>
      <c r="U18" s="4"/>
      <c r="V18" s="4"/>
    </row>
    <row r="19" spans="1:22" x14ac:dyDescent="0.55000000000000004">
      <c r="A19" s="4" t="s">
        <v>1575</v>
      </c>
      <c r="B19" s="4" t="s">
        <v>1576</v>
      </c>
      <c r="C19" s="4" t="s">
        <v>1577</v>
      </c>
      <c r="D19" s="4" t="s">
        <v>1578</v>
      </c>
      <c r="E19" s="4" t="s">
        <v>1579</v>
      </c>
      <c r="F19" s="4" t="s">
        <v>1585</v>
      </c>
      <c r="G19" s="4" t="s">
        <v>1586</v>
      </c>
      <c r="H19" s="4" t="s">
        <v>1587</v>
      </c>
      <c r="I19" s="4" t="s">
        <v>1588</v>
      </c>
      <c r="J19" s="4" t="s">
        <v>1589</v>
      </c>
      <c r="K19" s="4" t="s">
        <v>1590</v>
      </c>
      <c r="L19" s="4" t="s">
        <v>1591</v>
      </c>
      <c r="M19" s="4" t="s">
        <v>1592</v>
      </c>
      <c r="N19" s="4" t="s">
        <v>1571</v>
      </c>
      <c r="O19" s="4" t="s">
        <v>1572</v>
      </c>
      <c r="P19" s="4" t="s">
        <v>1573</v>
      </c>
      <c r="Q19" s="33" t="s">
        <v>1593</v>
      </c>
      <c r="R19" s="4"/>
      <c r="S19" s="4"/>
      <c r="T19" s="4"/>
      <c r="U19" s="4"/>
      <c r="V19" s="4"/>
    </row>
    <row r="20" spans="1:22" x14ac:dyDescent="0.55000000000000004">
      <c r="A20" s="4"/>
      <c r="B20" s="4"/>
      <c r="C20" s="4"/>
      <c r="D20" s="4"/>
      <c r="E20" s="4"/>
      <c r="F20" s="4"/>
      <c r="G20" s="4"/>
      <c r="H20" s="4"/>
      <c r="I20" s="4"/>
      <c r="J20" s="4"/>
      <c r="K20" s="4"/>
      <c r="L20" s="4"/>
      <c r="M20" s="4"/>
      <c r="N20" s="4"/>
      <c r="O20" s="4"/>
      <c r="P20" s="4"/>
      <c r="Q20" s="4"/>
      <c r="R20" s="4"/>
      <c r="S20" s="4"/>
      <c r="T20" s="4"/>
      <c r="U20" s="4"/>
      <c r="V20" s="4"/>
    </row>
    <row r="21" spans="1:22" x14ac:dyDescent="0.55000000000000004">
      <c r="A21" s="49" t="s">
        <v>1561</v>
      </c>
      <c r="B21" s="49"/>
      <c r="C21" s="49"/>
      <c r="D21" s="49"/>
      <c r="E21" s="49"/>
      <c r="F21" s="49"/>
      <c r="G21" s="49"/>
      <c r="H21" s="49"/>
      <c r="I21" s="49"/>
      <c r="J21" s="49"/>
      <c r="K21" s="49"/>
      <c r="L21" s="49"/>
      <c r="M21" s="49"/>
      <c r="N21" s="49"/>
      <c r="O21" s="49"/>
      <c r="P21" s="49"/>
      <c r="Q21" s="49"/>
      <c r="R21" s="49"/>
      <c r="S21" s="49"/>
      <c r="T21" s="49"/>
      <c r="U21" s="49"/>
      <c r="V21" s="49"/>
    </row>
    <row r="22" spans="1:22" x14ac:dyDescent="0.55000000000000004">
      <c r="A22" s="5">
        <v>2</v>
      </c>
      <c r="B22" s="49"/>
      <c r="C22" s="49"/>
      <c r="D22" s="49"/>
      <c r="E22" s="49"/>
      <c r="F22" s="49"/>
      <c r="G22" s="49"/>
      <c r="H22" s="49"/>
      <c r="I22" s="49"/>
      <c r="J22" s="49"/>
      <c r="K22" s="49"/>
      <c r="L22" s="49"/>
      <c r="M22" s="49"/>
      <c r="N22" s="49"/>
      <c r="O22" s="49"/>
      <c r="P22" s="49"/>
      <c r="Q22" s="49"/>
      <c r="R22" s="49"/>
      <c r="S22" s="49"/>
      <c r="T22" s="49"/>
      <c r="U22" s="49"/>
      <c r="V22" s="49"/>
    </row>
    <row r="23" spans="1:22" x14ac:dyDescent="0.55000000000000004">
      <c r="A23" s="49" t="s">
        <v>1562</v>
      </c>
      <c r="B23" s="49"/>
      <c r="C23" s="49"/>
      <c r="D23" s="49"/>
      <c r="E23" s="49"/>
      <c r="F23" s="49"/>
      <c r="G23" s="49"/>
      <c r="H23" s="49"/>
      <c r="I23" s="49"/>
      <c r="J23" s="49"/>
      <c r="K23" s="49"/>
      <c r="L23" s="49"/>
      <c r="M23" s="49"/>
      <c r="N23" s="49"/>
      <c r="O23" s="49"/>
      <c r="P23" s="49"/>
      <c r="Q23" s="49"/>
      <c r="R23" s="49"/>
      <c r="S23" s="49"/>
      <c r="T23" s="49"/>
      <c r="U23" s="49"/>
      <c r="V23" s="49"/>
    </row>
    <row r="24" spans="1:22" x14ac:dyDescent="0.55000000000000004">
      <c r="A24" s="5">
        <v>2</v>
      </c>
      <c r="B24" s="49"/>
      <c r="C24" s="49"/>
      <c r="D24" s="49"/>
      <c r="E24" s="49"/>
      <c r="F24" s="49"/>
      <c r="G24" s="49"/>
      <c r="H24" s="49"/>
      <c r="I24" s="49"/>
      <c r="J24" s="49"/>
      <c r="K24" s="49"/>
      <c r="L24" s="49"/>
      <c r="M24" s="49"/>
      <c r="N24" s="49"/>
      <c r="O24" s="49"/>
      <c r="P24" s="49"/>
      <c r="Q24" s="49"/>
      <c r="R24" s="49"/>
      <c r="S24" s="49"/>
      <c r="T24" s="49"/>
      <c r="U24" s="49"/>
      <c r="V24" s="49"/>
    </row>
    <row r="25" spans="1:22" x14ac:dyDescent="0.55000000000000004">
      <c r="A25" s="49" t="s">
        <v>1563</v>
      </c>
      <c r="B25" s="49"/>
      <c r="C25" s="49"/>
      <c r="D25" s="49"/>
      <c r="E25" s="49"/>
      <c r="F25" s="49"/>
      <c r="G25" s="49"/>
      <c r="H25" s="49"/>
      <c r="I25" s="49"/>
      <c r="J25" s="49"/>
      <c r="K25" s="49"/>
      <c r="L25" s="49"/>
      <c r="M25" s="49"/>
      <c r="N25" s="49"/>
      <c r="O25" s="49"/>
      <c r="P25" s="49"/>
      <c r="Q25" s="49"/>
      <c r="R25" s="49"/>
      <c r="S25" s="49"/>
      <c r="T25" s="49"/>
      <c r="U25" s="49"/>
      <c r="V25" s="49"/>
    </row>
    <row r="26" spans="1:22" x14ac:dyDescent="0.55000000000000004">
      <c r="A26" s="5">
        <v>180</v>
      </c>
      <c r="B26" s="5">
        <v>550</v>
      </c>
      <c r="C26" s="49"/>
      <c r="D26" s="49"/>
      <c r="E26" s="49"/>
      <c r="F26" s="49"/>
      <c r="G26" s="49"/>
      <c r="H26" s="49"/>
      <c r="I26" s="49"/>
      <c r="J26" s="49"/>
      <c r="K26" s="49"/>
      <c r="L26" s="49"/>
      <c r="M26" s="49"/>
      <c r="N26" s="49"/>
      <c r="O26" s="49"/>
      <c r="P26" s="49"/>
      <c r="Q26" s="49"/>
      <c r="R26" s="49"/>
      <c r="S26" s="49"/>
      <c r="T26" s="49"/>
      <c r="U26" s="49"/>
      <c r="V26" s="49"/>
    </row>
    <row r="27" spans="1:22" x14ac:dyDescent="0.55000000000000004">
      <c r="A27" s="49" t="s">
        <v>1564</v>
      </c>
      <c r="B27" s="49"/>
      <c r="C27" s="49"/>
      <c r="D27" s="49"/>
      <c r="E27" s="49"/>
      <c r="F27" s="49"/>
      <c r="G27" s="49"/>
      <c r="H27" s="49"/>
      <c r="I27" s="49"/>
      <c r="J27" s="49"/>
      <c r="K27" s="49"/>
      <c r="L27" s="49"/>
      <c r="M27" s="49"/>
      <c r="N27" s="49"/>
      <c r="O27" s="49"/>
      <c r="P27" s="49"/>
      <c r="Q27" s="49"/>
      <c r="R27" s="49"/>
      <c r="S27" s="49"/>
      <c r="T27" s="49"/>
      <c r="U27" s="49"/>
      <c r="V27" s="49"/>
    </row>
    <row r="28" spans="1:22" x14ac:dyDescent="0.55000000000000004">
      <c r="A28" s="5">
        <v>270</v>
      </c>
      <c r="B28" s="5">
        <v>730</v>
      </c>
      <c r="C28" s="49"/>
      <c r="D28" s="49"/>
      <c r="E28" s="49"/>
      <c r="F28" s="49"/>
      <c r="G28" s="49"/>
      <c r="H28" s="49"/>
      <c r="I28" s="49"/>
      <c r="J28" s="49"/>
      <c r="K28" s="49"/>
      <c r="L28" s="49"/>
      <c r="M28" s="49"/>
      <c r="N28" s="49"/>
      <c r="O28" s="49"/>
      <c r="P28" s="49"/>
      <c r="Q28" s="49"/>
      <c r="R28" s="49"/>
      <c r="S28" s="49"/>
      <c r="T28" s="49"/>
      <c r="U28" s="49"/>
      <c r="V28" s="49"/>
    </row>
    <row r="29" spans="1:22" x14ac:dyDescent="0.55000000000000004">
      <c r="A29" s="49" t="s">
        <v>1565</v>
      </c>
      <c r="B29" s="49"/>
      <c r="C29" s="49"/>
      <c r="D29" s="49"/>
      <c r="E29" s="49"/>
      <c r="F29" s="49"/>
      <c r="G29" s="49"/>
      <c r="H29" s="49"/>
      <c r="I29" s="49"/>
      <c r="J29" s="49"/>
      <c r="K29" s="49"/>
      <c r="L29" s="49"/>
      <c r="M29" s="49"/>
      <c r="N29" s="49"/>
      <c r="O29" s="49"/>
      <c r="P29" s="49"/>
      <c r="Q29" s="49"/>
      <c r="R29" s="49"/>
      <c r="S29" s="49"/>
      <c r="T29" s="49"/>
      <c r="U29" s="49"/>
      <c r="V29" s="49"/>
    </row>
    <row r="30" spans="1:22" x14ac:dyDescent="0.55000000000000004">
      <c r="A30" s="5">
        <v>2</v>
      </c>
      <c r="B30" s="49"/>
      <c r="C30" s="49"/>
      <c r="D30" s="49"/>
      <c r="E30" s="49"/>
      <c r="F30" s="49"/>
      <c r="G30" s="49"/>
      <c r="H30" s="49"/>
      <c r="I30" s="49"/>
      <c r="J30" s="49"/>
      <c r="K30" s="49"/>
      <c r="L30" s="49"/>
      <c r="M30" s="49"/>
      <c r="N30" s="49"/>
      <c r="O30" s="49"/>
      <c r="P30" s="49"/>
      <c r="Q30" s="49"/>
      <c r="R30" s="49"/>
      <c r="S30" s="49"/>
      <c r="T30" s="49"/>
      <c r="U30" s="49"/>
      <c r="V30" s="49"/>
    </row>
    <row r="31" spans="1:22" x14ac:dyDescent="0.55000000000000004">
      <c r="A31" s="49" t="s">
        <v>1566</v>
      </c>
      <c r="B31" s="49" t="s">
        <v>1567</v>
      </c>
      <c r="C31" s="49" t="s">
        <v>1568</v>
      </c>
      <c r="D31" s="49" t="s">
        <v>1569</v>
      </c>
      <c r="E31" s="49" t="s">
        <v>1570</v>
      </c>
      <c r="F31" s="49" t="s">
        <v>1571</v>
      </c>
      <c r="G31" s="49" t="s">
        <v>1572</v>
      </c>
      <c r="H31" s="49" t="s">
        <v>1573</v>
      </c>
      <c r="I31" s="49" t="s">
        <v>1574</v>
      </c>
      <c r="J31" s="49"/>
      <c r="K31" s="49"/>
      <c r="L31" s="49"/>
      <c r="M31" s="49"/>
      <c r="N31" s="49"/>
      <c r="O31" s="49"/>
      <c r="P31" s="49"/>
      <c r="Q31" s="49"/>
      <c r="R31" s="49"/>
      <c r="S31" s="49"/>
      <c r="T31" s="49"/>
      <c r="U31" s="49"/>
      <c r="V31" s="49"/>
    </row>
    <row r="32" spans="1:22" x14ac:dyDescent="0.55000000000000004">
      <c r="A32" s="5">
        <v>1.5</v>
      </c>
      <c r="B32" s="5">
        <v>1.5707960000000001</v>
      </c>
      <c r="C32" s="5">
        <v>0.05</v>
      </c>
      <c r="D32" s="5">
        <v>0</v>
      </c>
      <c r="E32" s="5">
        <v>15</v>
      </c>
      <c r="F32" s="5">
        <v>0</v>
      </c>
      <c r="G32" s="5">
        <v>25</v>
      </c>
      <c r="H32" s="5">
        <v>0.05</v>
      </c>
      <c r="I32" s="49"/>
      <c r="J32" s="49"/>
      <c r="K32" s="49"/>
      <c r="L32" s="49"/>
      <c r="M32" s="49"/>
      <c r="N32" s="49"/>
      <c r="O32" s="49"/>
      <c r="P32" s="49"/>
      <c r="Q32" s="49"/>
      <c r="R32" s="49"/>
      <c r="S32" s="49"/>
      <c r="T32" s="49"/>
      <c r="U32" s="49"/>
      <c r="V32" s="49"/>
    </row>
    <row r="33" spans="1:22" x14ac:dyDescent="0.55000000000000004">
      <c r="A33" s="49" t="s">
        <v>1575</v>
      </c>
      <c r="B33" s="49" t="s">
        <v>1576</v>
      </c>
      <c r="C33" s="49" t="s">
        <v>1577</v>
      </c>
      <c r="D33" s="49" t="s">
        <v>1578</v>
      </c>
      <c r="E33" s="49" t="s">
        <v>1579</v>
      </c>
      <c r="F33" s="49" t="s">
        <v>1580</v>
      </c>
      <c r="G33" s="49" t="s">
        <v>1581</v>
      </c>
      <c r="H33" s="49" t="s">
        <v>1582</v>
      </c>
      <c r="I33" s="49" t="s">
        <v>1583</v>
      </c>
      <c r="J33" s="49" t="s">
        <v>1571</v>
      </c>
      <c r="K33" s="49" t="s">
        <v>1572</v>
      </c>
      <c r="L33" s="49" t="s">
        <v>1573</v>
      </c>
      <c r="M33" s="49" t="s">
        <v>1584</v>
      </c>
      <c r="N33" s="49"/>
      <c r="O33" s="49"/>
      <c r="P33" s="49"/>
      <c r="Q33" s="49"/>
      <c r="R33" s="49"/>
      <c r="S33" s="49"/>
      <c r="T33" s="49"/>
      <c r="U33" s="49"/>
      <c r="V33" s="49"/>
    </row>
    <row r="34" spans="1:22" x14ac:dyDescent="0.55000000000000004">
      <c r="A34" s="49"/>
      <c r="B34" s="49"/>
      <c r="C34" s="49"/>
      <c r="D34" s="49"/>
      <c r="E34" s="49"/>
      <c r="F34" s="49"/>
      <c r="G34" s="49"/>
      <c r="H34" s="49"/>
      <c r="I34" s="49"/>
      <c r="J34" s="49"/>
      <c r="K34" s="49"/>
      <c r="L34" s="49"/>
      <c r="M34" s="49"/>
      <c r="N34" s="49"/>
      <c r="O34" s="49"/>
      <c r="P34" s="49"/>
      <c r="Q34" s="49"/>
      <c r="R34" s="49"/>
      <c r="S34" s="49"/>
      <c r="T34" s="49"/>
      <c r="U34" s="49"/>
      <c r="V34" s="49"/>
    </row>
    <row r="35" spans="1:22" x14ac:dyDescent="0.55000000000000004">
      <c r="A35" s="49" t="s">
        <v>1575</v>
      </c>
      <c r="B35" s="49" t="s">
        <v>1576</v>
      </c>
      <c r="C35" s="49" t="s">
        <v>1577</v>
      </c>
      <c r="D35" s="49" t="s">
        <v>1578</v>
      </c>
      <c r="E35" s="49" t="s">
        <v>1579</v>
      </c>
      <c r="F35" s="49" t="s">
        <v>1585</v>
      </c>
      <c r="G35" s="49" t="s">
        <v>1586</v>
      </c>
      <c r="H35" s="49" t="s">
        <v>1587</v>
      </c>
      <c r="I35" s="49" t="s">
        <v>1588</v>
      </c>
      <c r="J35" s="49" t="s">
        <v>1589</v>
      </c>
      <c r="K35" s="49" t="s">
        <v>1590</v>
      </c>
      <c r="L35" s="49" t="s">
        <v>1591</v>
      </c>
      <c r="M35" s="49" t="s">
        <v>1592</v>
      </c>
      <c r="N35" s="49" t="s">
        <v>1571</v>
      </c>
      <c r="O35" s="49" t="s">
        <v>1572</v>
      </c>
      <c r="P35" s="49" t="s">
        <v>1573</v>
      </c>
      <c r="Q35" s="49" t="s">
        <v>1593</v>
      </c>
      <c r="R35" s="49"/>
      <c r="S35" s="49"/>
      <c r="T35" s="49"/>
      <c r="U35" s="49"/>
      <c r="V35" s="49"/>
    </row>
    <row r="36" spans="1:22" x14ac:dyDescent="0.55000000000000004">
      <c r="A36" s="49"/>
      <c r="B36" s="49"/>
      <c r="C36" s="49"/>
      <c r="D36" s="49"/>
      <c r="E36" s="49"/>
      <c r="F36" s="49"/>
      <c r="G36" s="49"/>
      <c r="H36" s="49"/>
      <c r="I36" s="49"/>
      <c r="J36" s="49"/>
      <c r="K36" s="49"/>
      <c r="L36" s="49"/>
      <c r="M36" s="49"/>
      <c r="N36" s="49"/>
      <c r="O36" s="49"/>
      <c r="P36" s="49"/>
      <c r="Q36" s="49"/>
      <c r="R36" s="49"/>
      <c r="S36" s="49"/>
      <c r="T36" s="49"/>
      <c r="U36" s="49"/>
      <c r="V36" s="49"/>
    </row>
    <row r="37" spans="1:22" x14ac:dyDescent="0.55000000000000004">
      <c r="A37" s="4" t="s">
        <v>1561</v>
      </c>
      <c r="B37" s="4"/>
      <c r="C37" s="4"/>
      <c r="D37" s="4"/>
      <c r="E37" s="4"/>
      <c r="F37" s="4"/>
      <c r="G37" s="4"/>
      <c r="H37" s="4"/>
      <c r="I37" s="4"/>
      <c r="J37" s="4"/>
      <c r="K37" s="4"/>
      <c r="L37" s="4"/>
      <c r="M37" s="4"/>
      <c r="N37" s="4"/>
      <c r="O37" s="4"/>
      <c r="P37" s="4"/>
      <c r="Q37" s="4"/>
      <c r="R37" s="4"/>
      <c r="S37" s="4"/>
      <c r="T37" s="4"/>
      <c r="U37" s="4"/>
      <c r="V37" s="4"/>
    </row>
    <row r="38" spans="1:22" x14ac:dyDescent="0.55000000000000004">
      <c r="A38" s="5">
        <v>3</v>
      </c>
      <c r="B38" s="4"/>
      <c r="C38" s="4"/>
      <c r="D38" s="4"/>
      <c r="E38" s="4"/>
      <c r="F38" s="4"/>
      <c r="G38" s="4"/>
      <c r="H38" s="4"/>
      <c r="I38" s="4"/>
      <c r="J38" s="4"/>
      <c r="K38" s="4"/>
      <c r="L38" s="4"/>
      <c r="M38" s="4"/>
      <c r="N38" s="4"/>
      <c r="O38" s="4"/>
      <c r="P38" s="4"/>
      <c r="Q38" s="4"/>
      <c r="R38" s="4"/>
      <c r="S38" s="4"/>
      <c r="T38" s="4"/>
      <c r="U38" s="4"/>
      <c r="V38" s="4"/>
    </row>
    <row r="39" spans="1:22" x14ac:dyDescent="0.55000000000000004">
      <c r="A39" s="4" t="s">
        <v>1562</v>
      </c>
      <c r="B39" s="4"/>
      <c r="C39" s="4"/>
      <c r="D39" s="4"/>
      <c r="E39" s="4"/>
      <c r="F39" s="4"/>
      <c r="G39" s="4"/>
      <c r="H39" s="4"/>
      <c r="I39" s="4"/>
      <c r="J39" s="4"/>
      <c r="K39" s="4"/>
      <c r="L39" s="4"/>
      <c r="M39" s="4"/>
      <c r="N39" s="4"/>
      <c r="O39" s="4"/>
      <c r="P39" s="4"/>
      <c r="Q39" s="4"/>
      <c r="R39" s="4"/>
      <c r="S39" s="4"/>
      <c r="T39" s="4"/>
      <c r="U39" s="4"/>
      <c r="V39" s="4"/>
    </row>
    <row r="40" spans="1:22" x14ac:dyDescent="0.55000000000000004">
      <c r="A40" s="5">
        <v>1</v>
      </c>
      <c r="B40" s="4"/>
      <c r="C40" s="4"/>
      <c r="D40" s="4"/>
      <c r="E40" s="4"/>
      <c r="F40" s="4"/>
      <c r="G40" s="4"/>
      <c r="H40" s="4"/>
      <c r="I40" s="4"/>
      <c r="J40" s="4"/>
      <c r="K40" s="4"/>
      <c r="L40" s="4"/>
      <c r="M40" s="4"/>
      <c r="N40" s="4"/>
      <c r="O40" s="4"/>
      <c r="P40" s="4"/>
      <c r="Q40" s="4"/>
      <c r="R40" s="4"/>
      <c r="S40" s="4"/>
      <c r="T40" s="4"/>
      <c r="U40" s="4"/>
      <c r="V40" s="4"/>
    </row>
    <row r="41" spans="1:22" x14ac:dyDescent="0.55000000000000004">
      <c r="A41" s="4" t="s">
        <v>1563</v>
      </c>
      <c r="B41" s="4"/>
      <c r="C41" s="4"/>
      <c r="D41" s="4"/>
      <c r="E41" s="4"/>
      <c r="F41" s="4"/>
      <c r="G41" s="4"/>
      <c r="H41" s="4"/>
      <c r="I41" s="4"/>
      <c r="J41" s="4"/>
      <c r="K41" s="4"/>
      <c r="L41" s="4"/>
      <c r="M41" s="4"/>
      <c r="N41" s="4"/>
      <c r="O41" s="4"/>
      <c r="P41" s="4"/>
      <c r="Q41" s="4"/>
      <c r="R41" s="4"/>
      <c r="S41" s="4"/>
      <c r="T41" s="4"/>
      <c r="U41" s="4"/>
      <c r="V41" s="4"/>
    </row>
    <row r="42" spans="1:22" x14ac:dyDescent="0.55000000000000004">
      <c r="A42" s="5">
        <v>1</v>
      </c>
      <c r="B42" s="4"/>
      <c r="C42" s="4"/>
      <c r="D42" s="4"/>
      <c r="E42" s="4"/>
      <c r="F42" s="4"/>
      <c r="G42" s="4"/>
      <c r="H42" s="4"/>
      <c r="I42" s="4"/>
      <c r="J42" s="4"/>
      <c r="K42" s="4"/>
      <c r="L42" s="4"/>
      <c r="M42" s="4"/>
      <c r="N42" s="4"/>
      <c r="O42" s="4"/>
      <c r="P42" s="4"/>
      <c r="Q42" s="4"/>
      <c r="R42" s="4"/>
      <c r="S42" s="4"/>
      <c r="T42" s="4"/>
      <c r="U42" s="4"/>
      <c r="V42" s="4"/>
    </row>
    <row r="43" spans="1:22" x14ac:dyDescent="0.55000000000000004">
      <c r="A43" s="4" t="s">
        <v>1564</v>
      </c>
      <c r="B43" s="4"/>
      <c r="C43" s="4"/>
      <c r="D43" s="4"/>
      <c r="E43" s="4"/>
      <c r="F43" s="4"/>
      <c r="G43" s="4"/>
      <c r="H43" s="4"/>
      <c r="I43" s="4"/>
      <c r="J43" s="4"/>
      <c r="K43" s="4"/>
      <c r="L43" s="4"/>
      <c r="M43" s="4"/>
      <c r="N43" s="4"/>
      <c r="O43" s="4"/>
      <c r="P43" s="4"/>
      <c r="Q43" s="4"/>
      <c r="R43" s="4"/>
      <c r="S43" s="4"/>
      <c r="T43" s="4"/>
      <c r="U43" s="4"/>
      <c r="V43" s="4"/>
    </row>
    <row r="44" spans="1:22" x14ac:dyDescent="0.55000000000000004">
      <c r="A44" s="5">
        <v>10000</v>
      </c>
      <c r="B44" s="4"/>
      <c r="C44" s="4"/>
      <c r="D44" s="4"/>
      <c r="E44" s="4"/>
      <c r="F44" s="4"/>
      <c r="G44" s="4"/>
      <c r="H44" s="4"/>
      <c r="I44" s="4"/>
      <c r="J44" s="4"/>
      <c r="K44" s="4"/>
      <c r="L44" s="4"/>
      <c r="M44" s="4"/>
      <c r="N44" s="4"/>
      <c r="O44" s="4"/>
      <c r="P44" s="4"/>
      <c r="Q44" s="4"/>
      <c r="R44" s="4"/>
      <c r="S44" s="4"/>
      <c r="T44" s="4"/>
      <c r="U44" s="4"/>
      <c r="V44" s="4"/>
    </row>
    <row r="45" spans="1:22" x14ac:dyDescent="0.55000000000000004">
      <c r="A45" s="4" t="s">
        <v>1565</v>
      </c>
      <c r="B45" s="4"/>
      <c r="C45" s="4"/>
      <c r="D45" s="4"/>
      <c r="E45" s="4"/>
      <c r="F45" s="4"/>
      <c r="G45" s="4"/>
      <c r="H45" s="4"/>
      <c r="I45" s="4"/>
      <c r="J45" s="4"/>
      <c r="K45" s="4"/>
      <c r="L45" s="4"/>
      <c r="M45" s="4"/>
      <c r="N45" s="4"/>
      <c r="O45" s="4"/>
      <c r="P45" s="4"/>
      <c r="Q45" s="4"/>
      <c r="R45" s="4"/>
      <c r="S45" s="4"/>
      <c r="T45" s="4"/>
      <c r="U45" s="4"/>
      <c r="V45" s="4"/>
    </row>
    <row r="46" spans="1:22" x14ac:dyDescent="0.55000000000000004">
      <c r="A46" s="5">
        <v>3</v>
      </c>
      <c r="B46" s="4"/>
      <c r="C46" s="4"/>
      <c r="D46" s="4"/>
      <c r="E46" s="4"/>
      <c r="F46" s="4"/>
      <c r="G46" s="4"/>
      <c r="H46" s="4"/>
      <c r="I46" s="4"/>
      <c r="J46" s="4"/>
      <c r="K46" s="4"/>
      <c r="L46" s="4"/>
      <c r="M46" s="4"/>
      <c r="N46" s="4"/>
      <c r="O46" s="4"/>
      <c r="P46" s="4"/>
      <c r="Q46" s="4"/>
      <c r="R46" s="4"/>
      <c r="S46" s="4"/>
      <c r="T46" s="4"/>
      <c r="U46" s="4"/>
      <c r="V46" s="4"/>
    </row>
    <row r="47" spans="1:22" x14ac:dyDescent="0.55000000000000004">
      <c r="A47" s="4" t="s">
        <v>1566</v>
      </c>
      <c r="B47" s="4" t="s">
        <v>1567</v>
      </c>
      <c r="C47" s="4" t="s">
        <v>1568</v>
      </c>
      <c r="D47" s="4" t="s">
        <v>1569</v>
      </c>
      <c r="E47" s="4" t="s">
        <v>1570</v>
      </c>
      <c r="F47" s="4" t="s">
        <v>1571</v>
      </c>
      <c r="G47" s="4" t="s">
        <v>1572</v>
      </c>
      <c r="H47" s="4" t="s">
        <v>1573</v>
      </c>
      <c r="I47" s="4" t="s">
        <v>1574</v>
      </c>
      <c r="J47" s="4"/>
      <c r="K47" s="4"/>
      <c r="L47" s="4"/>
      <c r="M47" s="4"/>
      <c r="N47" s="4"/>
      <c r="O47" s="4"/>
      <c r="P47" s="4"/>
      <c r="Q47" s="4"/>
      <c r="R47" s="4"/>
      <c r="S47" s="4"/>
      <c r="T47" s="4"/>
      <c r="U47" s="4"/>
      <c r="V47" s="4"/>
    </row>
    <row r="48" spans="1:22" x14ac:dyDescent="0.55000000000000004">
      <c r="A48" s="4"/>
      <c r="B48" s="4"/>
      <c r="C48" s="4"/>
      <c r="D48" s="4"/>
      <c r="E48" s="4"/>
      <c r="F48" s="4"/>
      <c r="G48" s="4"/>
      <c r="H48" s="4"/>
      <c r="I48" s="4"/>
      <c r="J48" s="4"/>
      <c r="K48" s="4"/>
      <c r="L48" s="4"/>
      <c r="M48" s="4"/>
      <c r="N48" s="4"/>
      <c r="O48" s="4"/>
      <c r="P48" s="4"/>
      <c r="Q48" s="4"/>
      <c r="R48" s="4"/>
      <c r="S48" s="4"/>
      <c r="T48" s="4"/>
      <c r="U48" s="4"/>
      <c r="V48" s="4"/>
    </row>
    <row r="49" spans="1:22" x14ac:dyDescent="0.55000000000000004">
      <c r="A49" s="4" t="s">
        <v>1575</v>
      </c>
      <c r="B49" s="4" t="s">
        <v>1576</v>
      </c>
      <c r="C49" s="4" t="s">
        <v>1577</v>
      </c>
      <c r="D49" s="4" t="s">
        <v>1578</v>
      </c>
      <c r="E49" s="4" t="s">
        <v>1579</v>
      </c>
      <c r="F49" s="4" t="s">
        <v>1580</v>
      </c>
      <c r="G49" s="4" t="s">
        <v>1581</v>
      </c>
      <c r="H49" s="4" t="s">
        <v>1582</v>
      </c>
      <c r="I49" s="4" t="s">
        <v>1583</v>
      </c>
      <c r="J49" s="4" t="s">
        <v>1571</v>
      </c>
      <c r="K49" s="4" t="s">
        <v>1572</v>
      </c>
      <c r="L49" s="4" t="s">
        <v>1573</v>
      </c>
      <c r="M49" s="4" t="s">
        <v>1584</v>
      </c>
      <c r="N49" s="4"/>
      <c r="O49" s="4"/>
      <c r="P49" s="4"/>
      <c r="Q49" s="4"/>
      <c r="R49" s="4"/>
      <c r="S49" s="4"/>
      <c r="T49" s="4"/>
      <c r="U49" s="4"/>
      <c r="V49" s="4"/>
    </row>
    <row r="50" spans="1:22" x14ac:dyDescent="0.55000000000000004">
      <c r="A50" s="67">
        <v>5.0000000000000002E-5</v>
      </c>
      <c r="B50" s="5">
        <v>920</v>
      </c>
      <c r="C50" s="5">
        <v>1085</v>
      </c>
      <c r="D50" s="5">
        <v>980</v>
      </c>
      <c r="E50" s="5">
        <v>920</v>
      </c>
      <c r="F50" s="5">
        <v>5</v>
      </c>
      <c r="G50" s="5">
        <v>1000</v>
      </c>
      <c r="H50" s="5">
        <v>1.15E-2</v>
      </c>
      <c r="I50" s="5">
        <v>5.0000000000000001E-3</v>
      </c>
      <c r="J50" s="5">
        <v>0</v>
      </c>
      <c r="K50" s="5">
        <v>30</v>
      </c>
      <c r="L50" s="5">
        <v>0.1</v>
      </c>
      <c r="M50" s="4"/>
      <c r="N50" s="4"/>
      <c r="O50" s="4"/>
      <c r="P50" s="4"/>
      <c r="Q50" s="4"/>
      <c r="R50" s="4"/>
      <c r="S50" s="4"/>
      <c r="T50" s="4"/>
      <c r="U50" s="4"/>
      <c r="V50" s="4"/>
    </row>
    <row r="51" spans="1:22" x14ac:dyDescent="0.55000000000000004">
      <c r="A51" s="4" t="s">
        <v>1575</v>
      </c>
      <c r="B51" s="4" t="s">
        <v>1576</v>
      </c>
      <c r="C51" s="4" t="s">
        <v>1577</v>
      </c>
      <c r="D51" s="4" t="s">
        <v>1578</v>
      </c>
      <c r="E51" s="4" t="s">
        <v>1579</v>
      </c>
      <c r="F51" s="4" t="s">
        <v>1585</v>
      </c>
      <c r="G51" s="4" t="s">
        <v>1586</v>
      </c>
      <c r="H51" s="4" t="s">
        <v>1587</v>
      </c>
      <c r="I51" s="4" t="s">
        <v>1588</v>
      </c>
      <c r="J51" s="4" t="s">
        <v>1589</v>
      </c>
      <c r="K51" s="4" t="s">
        <v>1590</v>
      </c>
      <c r="L51" s="4" t="s">
        <v>1591</v>
      </c>
      <c r="M51" s="4" t="s">
        <v>1592</v>
      </c>
      <c r="N51" s="4" t="s">
        <v>1571</v>
      </c>
      <c r="O51" s="4" t="s">
        <v>1572</v>
      </c>
      <c r="P51" s="4" t="s">
        <v>1573</v>
      </c>
      <c r="Q51" s="4" t="s">
        <v>1593</v>
      </c>
      <c r="R51" s="4"/>
      <c r="S51" s="4"/>
      <c r="T51" s="4"/>
      <c r="U51" s="4"/>
      <c r="V51" s="4"/>
    </row>
    <row r="52" spans="1:22" x14ac:dyDescent="0.55000000000000004">
      <c r="A52" s="4"/>
      <c r="B52" s="4"/>
      <c r="C52" s="4"/>
      <c r="D52" s="4"/>
      <c r="E52" s="4"/>
      <c r="F52" s="4"/>
      <c r="G52" s="4"/>
      <c r="H52" s="4"/>
      <c r="I52" s="4"/>
      <c r="J52" s="4"/>
      <c r="K52" s="4"/>
      <c r="L52" s="4"/>
      <c r="M52" s="4"/>
      <c r="N52" s="4"/>
      <c r="O52" s="4"/>
      <c r="P52" s="4"/>
      <c r="Q52" s="4"/>
      <c r="R52" s="4"/>
      <c r="S52" s="4"/>
      <c r="T52" s="4"/>
      <c r="U52" s="4"/>
      <c r="V52" s="4"/>
    </row>
    <row r="53" spans="1:22" x14ac:dyDescent="0.55000000000000004">
      <c r="A53" s="13" t="s">
        <v>1561</v>
      </c>
      <c r="B53" s="13"/>
      <c r="C53" s="13"/>
      <c r="D53" s="13"/>
      <c r="E53" s="13"/>
      <c r="F53" s="13"/>
      <c r="G53" s="13"/>
      <c r="H53" s="13"/>
      <c r="I53" s="13"/>
      <c r="J53" s="13"/>
      <c r="K53" s="13"/>
      <c r="L53" s="13"/>
      <c r="M53" s="13"/>
      <c r="N53" s="13"/>
      <c r="O53" s="13"/>
      <c r="P53" s="13"/>
      <c r="Q53" s="13"/>
      <c r="R53" s="13"/>
      <c r="S53" s="13"/>
      <c r="T53" s="13"/>
      <c r="U53" s="13"/>
      <c r="V53" s="13"/>
    </row>
    <row r="54" spans="1:22" x14ac:dyDescent="0.55000000000000004">
      <c r="A54" s="5">
        <v>4</v>
      </c>
      <c r="B54" s="13"/>
      <c r="C54" s="13"/>
      <c r="D54" s="13"/>
      <c r="E54" s="13"/>
      <c r="F54" s="13"/>
      <c r="G54" s="13"/>
      <c r="H54" s="13"/>
      <c r="I54" s="13"/>
      <c r="J54" s="13"/>
      <c r="K54" s="13"/>
      <c r="L54" s="13"/>
      <c r="M54" s="13"/>
      <c r="N54" s="13"/>
      <c r="O54" s="13"/>
      <c r="P54" s="13"/>
      <c r="Q54" s="13"/>
      <c r="R54" s="13"/>
      <c r="S54" s="13"/>
      <c r="T54" s="13"/>
      <c r="U54" s="13"/>
      <c r="V54" s="13"/>
    </row>
    <row r="55" spans="1:22" x14ac:dyDescent="0.55000000000000004">
      <c r="A55" s="13" t="s">
        <v>1562</v>
      </c>
      <c r="B55" s="13"/>
      <c r="C55" s="13"/>
      <c r="D55" s="13"/>
      <c r="E55" s="13"/>
      <c r="F55" s="13"/>
      <c r="G55" s="13"/>
      <c r="H55" s="13"/>
      <c r="I55" s="13"/>
      <c r="J55" s="13"/>
      <c r="K55" s="13"/>
      <c r="L55" s="13"/>
      <c r="M55" s="13"/>
      <c r="N55" s="13"/>
      <c r="O55" s="13"/>
      <c r="P55" s="13"/>
      <c r="Q55" s="13"/>
      <c r="R55" s="13"/>
      <c r="S55" s="13"/>
      <c r="T55" s="13"/>
      <c r="U55" s="13"/>
      <c r="V55" s="13"/>
    </row>
    <row r="56" spans="1:22" x14ac:dyDescent="0.55000000000000004">
      <c r="A56" s="5">
        <v>1</v>
      </c>
      <c r="B56" s="13"/>
      <c r="C56" s="13"/>
      <c r="D56" s="13"/>
      <c r="E56" s="13"/>
      <c r="F56" s="13"/>
      <c r="G56" s="13"/>
      <c r="H56" s="13"/>
      <c r="I56" s="13"/>
      <c r="J56" s="13"/>
      <c r="K56" s="13"/>
      <c r="L56" s="13"/>
      <c r="M56" s="13"/>
      <c r="N56" s="13"/>
      <c r="O56" s="13"/>
      <c r="P56" s="13"/>
      <c r="Q56" s="13"/>
      <c r="R56" s="13"/>
      <c r="S56" s="13"/>
      <c r="T56" s="13"/>
      <c r="U56" s="13"/>
      <c r="V56" s="13"/>
    </row>
    <row r="57" spans="1:22" x14ac:dyDescent="0.55000000000000004">
      <c r="A57" s="13" t="s">
        <v>1563</v>
      </c>
      <c r="B57" s="13"/>
      <c r="C57" s="13"/>
      <c r="D57" s="13"/>
      <c r="E57" s="13"/>
      <c r="F57" s="13"/>
      <c r="G57" s="13"/>
      <c r="H57" s="13"/>
      <c r="I57" s="13"/>
      <c r="J57" s="13"/>
      <c r="K57" s="13"/>
      <c r="L57" s="13"/>
      <c r="M57" s="13"/>
      <c r="N57" s="13"/>
      <c r="O57" s="13"/>
      <c r="P57" s="13"/>
      <c r="Q57" s="13"/>
      <c r="R57" s="13"/>
      <c r="S57" s="13"/>
      <c r="T57" s="13"/>
      <c r="U57" s="13"/>
      <c r="V57" s="13"/>
    </row>
    <row r="58" spans="1:22" x14ac:dyDescent="0.55000000000000004">
      <c r="A58" s="5">
        <v>1</v>
      </c>
      <c r="B58" s="13"/>
      <c r="C58" s="13"/>
      <c r="D58" s="13"/>
      <c r="E58" s="13"/>
      <c r="F58" s="13"/>
      <c r="G58" s="13"/>
      <c r="H58" s="13"/>
      <c r="I58" s="13"/>
      <c r="J58" s="13"/>
      <c r="K58" s="13"/>
      <c r="L58" s="13"/>
      <c r="M58" s="13"/>
      <c r="N58" s="13"/>
      <c r="O58" s="13"/>
      <c r="P58" s="13"/>
      <c r="Q58" s="13"/>
      <c r="R58" s="13"/>
      <c r="S58" s="13"/>
      <c r="T58" s="13"/>
      <c r="U58" s="13"/>
      <c r="V58" s="13"/>
    </row>
    <row r="59" spans="1:22" x14ac:dyDescent="0.55000000000000004">
      <c r="A59" s="13" t="s">
        <v>1564</v>
      </c>
      <c r="B59" s="13"/>
      <c r="C59" s="13"/>
      <c r="D59" s="13"/>
      <c r="E59" s="13"/>
      <c r="F59" s="13"/>
      <c r="G59" s="13"/>
      <c r="H59" s="13"/>
      <c r="I59" s="13"/>
      <c r="J59" s="13"/>
      <c r="K59" s="13"/>
      <c r="L59" s="13"/>
      <c r="M59" s="13"/>
      <c r="N59" s="13"/>
      <c r="O59" s="13"/>
      <c r="P59" s="13"/>
      <c r="Q59" s="13"/>
      <c r="R59" s="13"/>
      <c r="S59" s="13"/>
      <c r="T59" s="13"/>
      <c r="U59" s="13"/>
      <c r="V59" s="13"/>
    </row>
    <row r="60" spans="1:22" x14ac:dyDescent="0.55000000000000004">
      <c r="A60" s="5">
        <v>10000</v>
      </c>
      <c r="B60" s="13"/>
      <c r="C60" s="13"/>
      <c r="D60" s="13"/>
      <c r="E60" s="13"/>
      <c r="F60" s="13"/>
      <c r="G60" s="13"/>
      <c r="H60" s="13"/>
      <c r="I60" s="13"/>
      <c r="J60" s="13"/>
      <c r="K60" s="13"/>
      <c r="L60" s="13"/>
      <c r="M60" s="13"/>
      <c r="N60" s="13"/>
      <c r="O60" s="13"/>
      <c r="P60" s="13"/>
      <c r="Q60" s="13"/>
      <c r="R60" s="13"/>
      <c r="S60" s="13"/>
      <c r="T60" s="13"/>
      <c r="U60" s="13"/>
      <c r="V60" s="13"/>
    </row>
    <row r="61" spans="1:22" x14ac:dyDescent="0.55000000000000004">
      <c r="A61" s="13" t="s">
        <v>1565</v>
      </c>
      <c r="B61" s="13"/>
      <c r="C61" s="13"/>
      <c r="D61" s="13"/>
      <c r="E61" s="13"/>
      <c r="F61" s="13"/>
      <c r="G61" s="13"/>
      <c r="H61" s="13"/>
      <c r="I61" s="13"/>
      <c r="J61" s="13"/>
      <c r="K61" s="13"/>
      <c r="L61" s="13"/>
      <c r="M61" s="13"/>
      <c r="N61" s="13"/>
      <c r="O61" s="13"/>
      <c r="P61" s="13"/>
      <c r="Q61" s="13"/>
      <c r="R61" s="13"/>
      <c r="S61" s="13"/>
      <c r="T61" s="13"/>
      <c r="U61" s="13"/>
      <c r="V61" s="13"/>
    </row>
    <row r="62" spans="1:22" x14ac:dyDescent="0.55000000000000004">
      <c r="A62" s="5">
        <v>4</v>
      </c>
      <c r="B62" s="13"/>
      <c r="C62" s="13"/>
      <c r="D62" s="13"/>
      <c r="E62" s="13"/>
      <c r="F62" s="13"/>
      <c r="G62" s="13"/>
      <c r="H62" s="13"/>
      <c r="I62" s="13"/>
      <c r="J62" s="13"/>
      <c r="K62" s="13"/>
      <c r="L62" s="13"/>
      <c r="M62" s="13"/>
      <c r="N62" s="13"/>
      <c r="O62" s="13"/>
      <c r="P62" s="13"/>
      <c r="Q62" s="13"/>
      <c r="R62" s="13"/>
      <c r="S62" s="13"/>
      <c r="T62" s="13"/>
      <c r="U62" s="13"/>
      <c r="V62" s="13"/>
    </row>
    <row r="63" spans="1:22" x14ac:dyDescent="0.55000000000000004">
      <c r="A63" s="13" t="s">
        <v>1566</v>
      </c>
      <c r="B63" s="13" t="s">
        <v>1567</v>
      </c>
      <c r="C63" s="13" t="s">
        <v>1568</v>
      </c>
      <c r="D63" s="13" t="s">
        <v>1569</v>
      </c>
      <c r="E63" s="13" t="s">
        <v>1570</v>
      </c>
      <c r="F63" s="13" t="s">
        <v>1571</v>
      </c>
      <c r="G63" s="13" t="s">
        <v>1572</v>
      </c>
      <c r="H63" s="13" t="s">
        <v>1573</v>
      </c>
      <c r="I63" s="13" t="s">
        <v>1574</v>
      </c>
      <c r="J63" s="13"/>
      <c r="K63" s="13"/>
      <c r="L63" s="13"/>
      <c r="M63" s="13"/>
      <c r="N63" s="13"/>
      <c r="O63" s="13"/>
      <c r="P63" s="13"/>
      <c r="Q63" s="13"/>
      <c r="R63" s="13"/>
      <c r="S63" s="13"/>
      <c r="T63" s="13"/>
      <c r="U63" s="13"/>
      <c r="V63" s="13"/>
    </row>
    <row r="64" spans="1:22" x14ac:dyDescent="0.55000000000000004">
      <c r="A64" s="13"/>
      <c r="B64" s="13"/>
      <c r="C64" s="13"/>
      <c r="D64" s="13"/>
      <c r="E64" s="13"/>
      <c r="F64" s="13"/>
      <c r="G64" s="13"/>
      <c r="H64" s="13"/>
      <c r="I64" s="13"/>
      <c r="J64" s="13"/>
      <c r="K64" s="13"/>
      <c r="L64" s="13"/>
      <c r="M64" s="13"/>
      <c r="N64" s="13"/>
      <c r="O64" s="13"/>
      <c r="P64" s="13"/>
      <c r="Q64" s="13"/>
      <c r="R64" s="13"/>
      <c r="S64" s="13"/>
      <c r="T64" s="13"/>
      <c r="U64" s="13"/>
      <c r="V64" s="13"/>
    </row>
    <row r="65" spans="1:22" x14ac:dyDescent="0.55000000000000004">
      <c r="A65" s="13" t="s">
        <v>1575</v>
      </c>
      <c r="B65" s="13" t="s">
        <v>1576</v>
      </c>
      <c r="C65" s="13" t="s">
        <v>1577</v>
      </c>
      <c r="D65" s="13" t="s">
        <v>1578</v>
      </c>
      <c r="E65" s="13" t="s">
        <v>1579</v>
      </c>
      <c r="F65" s="13" t="s">
        <v>1580</v>
      </c>
      <c r="G65" s="13" t="s">
        <v>1581</v>
      </c>
      <c r="H65" s="13" t="s">
        <v>1582</v>
      </c>
      <c r="I65" s="13" t="s">
        <v>1583</v>
      </c>
      <c r="J65" s="13" t="s">
        <v>1571</v>
      </c>
      <c r="K65" s="13" t="s">
        <v>1572</v>
      </c>
      <c r="L65" s="13" t="s">
        <v>1573</v>
      </c>
      <c r="M65" s="13" t="s">
        <v>1584</v>
      </c>
      <c r="N65" s="13"/>
      <c r="O65" s="13"/>
      <c r="P65" s="13"/>
      <c r="Q65" s="13"/>
      <c r="R65" s="13"/>
      <c r="S65" s="13"/>
      <c r="T65" s="13"/>
      <c r="U65" s="13"/>
      <c r="V65" s="13"/>
    </row>
    <row r="66" spans="1:22" x14ac:dyDescent="0.55000000000000004">
      <c r="A66" s="13"/>
      <c r="B66" s="13"/>
      <c r="C66" s="13"/>
      <c r="D66" s="13"/>
      <c r="E66" s="13"/>
      <c r="F66" s="13"/>
      <c r="G66" s="13"/>
      <c r="H66" s="13"/>
      <c r="I66" s="13"/>
      <c r="J66" s="13"/>
      <c r="K66" s="13"/>
      <c r="L66" s="13"/>
      <c r="M66" s="13"/>
      <c r="N66" s="13"/>
      <c r="O66" s="13"/>
      <c r="P66" s="13"/>
      <c r="Q66" s="13"/>
      <c r="R66" s="13"/>
      <c r="S66" s="13"/>
      <c r="T66" s="13"/>
      <c r="U66" s="13"/>
      <c r="V66" s="13"/>
    </row>
    <row r="67" spans="1:22" x14ac:dyDescent="0.55000000000000004">
      <c r="A67" s="13" t="s">
        <v>1575</v>
      </c>
      <c r="B67" s="13" t="s">
        <v>1576</v>
      </c>
      <c r="C67" s="13" t="s">
        <v>1577</v>
      </c>
      <c r="D67" s="13" t="s">
        <v>1578</v>
      </c>
      <c r="E67" s="13" t="s">
        <v>1579</v>
      </c>
      <c r="F67" s="13" t="s">
        <v>1585</v>
      </c>
      <c r="G67" s="13" t="s">
        <v>1586</v>
      </c>
      <c r="H67" s="13" t="s">
        <v>1587</v>
      </c>
      <c r="I67" s="13" t="s">
        <v>1588</v>
      </c>
      <c r="J67" s="13" t="s">
        <v>1589</v>
      </c>
      <c r="K67" s="13" t="s">
        <v>1590</v>
      </c>
      <c r="L67" s="13" t="s">
        <v>1591</v>
      </c>
      <c r="M67" s="13" t="s">
        <v>1592</v>
      </c>
      <c r="N67" s="13" t="s">
        <v>1571</v>
      </c>
      <c r="O67" s="13" t="s">
        <v>1572</v>
      </c>
      <c r="P67" s="13" t="s">
        <v>1573</v>
      </c>
      <c r="Q67" s="13" t="s">
        <v>1593</v>
      </c>
      <c r="R67" s="13"/>
      <c r="S67" s="13"/>
      <c r="T67" s="13"/>
      <c r="U67" s="13"/>
      <c r="V67" s="13"/>
    </row>
    <row r="68" spans="1:22" x14ac:dyDescent="0.55000000000000004">
      <c r="A68" s="13"/>
      <c r="B68" s="13"/>
      <c r="C68" s="13"/>
      <c r="D68" s="13"/>
      <c r="E68" s="13"/>
      <c r="F68" s="13"/>
      <c r="G68" s="13"/>
      <c r="H68" s="13"/>
      <c r="I68" s="13"/>
      <c r="J68" s="13"/>
      <c r="K68" s="13"/>
      <c r="L68" s="13"/>
      <c r="M68" s="13"/>
      <c r="N68" s="13"/>
      <c r="O68" s="13"/>
      <c r="P68" s="13"/>
      <c r="Q68" s="13"/>
      <c r="R68" s="13"/>
      <c r="S68" s="13"/>
      <c r="T68" s="13"/>
      <c r="U68" s="13"/>
      <c r="V68" s="13"/>
    </row>
    <row r="69" spans="1:22" x14ac:dyDescent="0.55000000000000004">
      <c r="A69" s="13"/>
      <c r="B69" s="13"/>
      <c r="C69" s="13"/>
      <c r="D69" s="13"/>
      <c r="E69" s="13"/>
      <c r="F69" s="13"/>
      <c r="G69" s="13"/>
      <c r="H69" s="13"/>
      <c r="I69" s="13"/>
      <c r="J69" s="13"/>
      <c r="K69" s="13"/>
      <c r="L69" s="13"/>
      <c r="M69" s="13"/>
      <c r="N69" s="13"/>
      <c r="O69" s="13"/>
      <c r="P69" s="13"/>
      <c r="Q69" s="13"/>
      <c r="R69" s="13"/>
      <c r="S69" s="13"/>
      <c r="T69" s="13"/>
      <c r="U69" s="13"/>
      <c r="V69" s="13"/>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45720</xdr:rowOff>
                  </from>
                  <to>
                    <xdr:col>25</xdr:col>
                    <xdr:colOff>365760</xdr:colOff>
                    <xdr:row>7</xdr:row>
                    <xdr:rowOff>64770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R34"/>
  <sheetViews>
    <sheetView workbookViewId="0">
      <selection activeCell="A8" sqref="A8:D22"/>
    </sheetView>
  </sheetViews>
  <sheetFormatPr defaultRowHeight="14.4" x14ac:dyDescent="0.55000000000000004"/>
  <cols>
    <col min="1" max="1" width="61.68359375" bestFit="1" customWidth="1"/>
  </cols>
  <sheetData>
    <row r="1" spans="1:8" x14ac:dyDescent="0.55000000000000004">
      <c r="A1" t="s">
        <v>2200</v>
      </c>
      <c r="B1" s="31" t="s">
        <v>2201</v>
      </c>
      <c r="C1" s="31" t="s">
        <v>2202</v>
      </c>
      <c r="D1" s="31"/>
      <c r="E1" s="31"/>
      <c r="F1" s="31"/>
      <c r="G1" s="31"/>
    </row>
    <row r="2" spans="1:8" x14ac:dyDescent="0.55000000000000004">
      <c r="A2" s="7" t="s">
        <v>2203</v>
      </c>
      <c r="B2" s="5" t="s">
        <v>2</v>
      </c>
      <c r="C2" s="1" t="s">
        <v>2</v>
      </c>
      <c r="D2" s="31"/>
      <c r="E2" s="31"/>
      <c r="F2" s="31"/>
      <c r="G2" s="31"/>
      <c r="H2" t="s">
        <v>2204</v>
      </c>
    </row>
    <row r="3" spans="1:8" x14ac:dyDescent="0.55000000000000004">
      <c r="A3" s="7" t="s">
        <v>1626</v>
      </c>
      <c r="B3" s="71" t="s">
        <v>67</v>
      </c>
      <c r="C3" s="71" t="s">
        <v>68</v>
      </c>
      <c r="D3" s="71" t="s">
        <v>69</v>
      </c>
      <c r="E3" s="71" t="s">
        <v>960</v>
      </c>
      <c r="F3" s="71" t="s">
        <v>961</v>
      </c>
      <c r="G3" s="71" t="s">
        <v>962</v>
      </c>
      <c r="H3" s="103" t="s">
        <v>2205</v>
      </c>
    </row>
    <row r="4" spans="1:8" x14ac:dyDescent="0.55000000000000004">
      <c r="A4" s="7" t="s">
        <v>2206</v>
      </c>
      <c r="B4" s="5">
        <v>0.5</v>
      </c>
      <c r="C4" s="5">
        <v>0.25</v>
      </c>
      <c r="D4" s="5">
        <v>0.3</v>
      </c>
      <c r="E4" s="5"/>
      <c r="F4" s="5"/>
      <c r="G4" s="5"/>
      <c r="H4" t="s">
        <v>2207</v>
      </c>
    </row>
    <row r="5" spans="1:8" x14ac:dyDescent="0.55000000000000004">
      <c r="A5" s="7" t="s">
        <v>2208</v>
      </c>
      <c r="B5" s="5">
        <v>0.1</v>
      </c>
      <c r="C5" s="5">
        <v>0.2</v>
      </c>
      <c r="D5" s="5">
        <v>0.2</v>
      </c>
      <c r="E5" s="5"/>
      <c r="F5" s="5"/>
      <c r="G5" s="5"/>
    </row>
    <row r="6" spans="1:8" x14ac:dyDescent="0.55000000000000004">
      <c r="A6" s="7" t="s">
        <v>2209</v>
      </c>
      <c r="B6" s="5">
        <v>0.5</v>
      </c>
      <c r="C6" s="16"/>
      <c r="D6" s="16"/>
      <c r="E6" s="16"/>
      <c r="F6" s="16"/>
      <c r="G6" s="16"/>
      <c r="H6" t="s">
        <v>2210</v>
      </c>
    </row>
    <row r="7" spans="1:8" x14ac:dyDescent="0.55000000000000004">
      <c r="A7" s="7" t="s">
        <v>2211</v>
      </c>
      <c r="B7" s="5">
        <v>0.1</v>
      </c>
      <c r="C7" s="16"/>
      <c r="D7" s="16"/>
      <c r="E7" s="16"/>
      <c r="F7" s="16"/>
      <c r="G7" s="16"/>
    </row>
    <row r="8" spans="1:8" x14ac:dyDescent="0.55000000000000004">
      <c r="A8" s="7" t="s">
        <v>1627</v>
      </c>
      <c r="B8" s="71" t="s">
        <v>67</v>
      </c>
      <c r="C8" s="71" t="s">
        <v>68</v>
      </c>
      <c r="D8" s="71" t="s">
        <v>69</v>
      </c>
      <c r="E8" s="71" t="s">
        <v>960</v>
      </c>
      <c r="F8" s="71" t="s">
        <v>961</v>
      </c>
      <c r="G8" s="71" t="s">
        <v>962</v>
      </c>
    </row>
    <row r="9" spans="1:8" x14ac:dyDescent="0.55000000000000004">
      <c r="A9" s="7" t="s">
        <v>2212</v>
      </c>
      <c r="B9" s="5">
        <v>1</v>
      </c>
      <c r="C9" s="5">
        <v>0</v>
      </c>
      <c r="D9" s="5">
        <v>0</v>
      </c>
      <c r="E9" s="5"/>
      <c r="F9" s="5"/>
      <c r="G9" s="5"/>
    </row>
    <row r="10" spans="1:8" x14ac:dyDescent="0.55000000000000004">
      <c r="A10" s="7" t="s">
        <v>2213</v>
      </c>
      <c r="B10" s="5">
        <v>0.25</v>
      </c>
      <c r="C10" s="5">
        <v>0.2</v>
      </c>
      <c r="D10" s="5">
        <v>0.2</v>
      </c>
      <c r="E10" s="5"/>
      <c r="F10" s="5"/>
      <c r="G10" s="5"/>
    </row>
    <row r="11" spans="1:8" x14ac:dyDescent="0.55000000000000004">
      <c r="A11" s="7" t="s">
        <v>2214</v>
      </c>
      <c r="B11" s="5">
        <v>0.5</v>
      </c>
      <c r="C11" s="16"/>
      <c r="D11" s="16"/>
      <c r="E11" s="16"/>
      <c r="F11" s="16"/>
      <c r="G11" s="16"/>
    </row>
    <row r="12" spans="1:8" x14ac:dyDescent="0.55000000000000004">
      <c r="A12" s="7" t="s">
        <v>2215</v>
      </c>
      <c r="B12" s="5">
        <v>0.25</v>
      </c>
      <c r="C12" s="16"/>
      <c r="D12" s="16"/>
      <c r="E12" s="16"/>
      <c r="F12" s="16"/>
      <c r="G12" s="16"/>
    </row>
    <row r="13" spans="1:8" x14ac:dyDescent="0.55000000000000004">
      <c r="A13" s="7" t="s">
        <v>1628</v>
      </c>
      <c r="B13" s="71" t="s">
        <v>67</v>
      </c>
      <c r="C13" s="71" t="s">
        <v>68</v>
      </c>
      <c r="D13" s="71" t="s">
        <v>69</v>
      </c>
      <c r="E13" s="71" t="s">
        <v>960</v>
      </c>
      <c r="F13" s="71" t="s">
        <v>961</v>
      </c>
      <c r="G13" s="71" t="s">
        <v>962</v>
      </c>
      <c r="H13" t="s">
        <v>2210</v>
      </c>
    </row>
    <row r="14" spans="1:8" x14ac:dyDescent="0.55000000000000004">
      <c r="A14" s="7" t="s">
        <v>2216</v>
      </c>
      <c r="B14" s="5">
        <v>0.5</v>
      </c>
      <c r="C14" s="5">
        <v>0.25</v>
      </c>
      <c r="D14" s="5">
        <v>0.3</v>
      </c>
      <c r="E14" s="5"/>
      <c r="F14" s="5"/>
      <c r="G14" s="5"/>
    </row>
    <row r="15" spans="1:8" x14ac:dyDescent="0.55000000000000004">
      <c r="A15" s="7" t="s">
        <v>2217</v>
      </c>
      <c r="B15" s="5">
        <v>0.1</v>
      </c>
      <c r="C15" s="5">
        <v>0.2</v>
      </c>
      <c r="D15" s="5">
        <v>0.2</v>
      </c>
      <c r="E15" s="5"/>
      <c r="F15" s="5"/>
      <c r="G15" s="5"/>
    </row>
    <row r="16" spans="1:8" x14ac:dyDescent="0.55000000000000004">
      <c r="A16" s="7" t="s">
        <v>2218</v>
      </c>
      <c r="B16" s="5">
        <v>0.5</v>
      </c>
      <c r="C16" s="16"/>
      <c r="D16" s="16"/>
      <c r="E16" s="16"/>
      <c r="F16" s="16"/>
      <c r="G16" s="16"/>
    </row>
    <row r="17" spans="1:18" x14ac:dyDescent="0.55000000000000004">
      <c r="A17" s="7" t="s">
        <v>2219</v>
      </c>
      <c r="B17" s="5">
        <v>0.1</v>
      </c>
      <c r="C17" s="16"/>
      <c r="D17" s="16"/>
      <c r="E17" s="16"/>
      <c r="F17" s="16"/>
      <c r="G17" s="16"/>
      <c r="R17" s="75" t="s">
        <v>1630</v>
      </c>
    </row>
    <row r="18" spans="1:18" x14ac:dyDescent="0.55000000000000004">
      <c r="A18" s="7" t="s">
        <v>1629</v>
      </c>
      <c r="B18" s="71" t="s">
        <v>67</v>
      </c>
      <c r="C18" s="71" t="s">
        <v>68</v>
      </c>
      <c r="D18" s="71" t="s">
        <v>69</v>
      </c>
      <c r="E18" s="71" t="s">
        <v>960</v>
      </c>
      <c r="F18" s="71" t="s">
        <v>961</v>
      </c>
      <c r="G18" s="71" t="s">
        <v>962</v>
      </c>
      <c r="R18" s="75" t="s">
        <v>1631</v>
      </c>
    </row>
    <row r="19" spans="1:18" x14ac:dyDescent="0.55000000000000004">
      <c r="A19" s="7" t="s">
        <v>2220</v>
      </c>
      <c r="B19" s="5">
        <v>0.5</v>
      </c>
      <c r="C19" s="5">
        <v>0.25</v>
      </c>
      <c r="D19" s="5">
        <v>0.3</v>
      </c>
      <c r="E19" s="5"/>
      <c r="F19" s="5"/>
      <c r="G19" s="5"/>
      <c r="R19" s="75" t="s">
        <v>1632</v>
      </c>
    </row>
    <row r="20" spans="1:18" x14ac:dyDescent="0.55000000000000004">
      <c r="A20" s="7" t="s">
        <v>2221</v>
      </c>
      <c r="B20" s="5">
        <v>0.1</v>
      </c>
      <c r="C20" s="5">
        <v>0.2</v>
      </c>
      <c r="D20" s="5">
        <v>0.2</v>
      </c>
      <c r="E20" s="5"/>
      <c r="F20" s="5"/>
      <c r="G20" s="5"/>
      <c r="H20" t="s">
        <v>2210</v>
      </c>
      <c r="R20" s="75" t="s">
        <v>1633</v>
      </c>
    </row>
    <row r="21" spans="1:18" x14ac:dyDescent="0.55000000000000004">
      <c r="A21" s="7" t="s">
        <v>2222</v>
      </c>
      <c r="B21" s="5">
        <v>0.5</v>
      </c>
      <c r="C21" s="16"/>
      <c r="D21" s="16"/>
      <c r="E21" s="16"/>
      <c r="F21" s="16"/>
      <c r="G21" s="16"/>
      <c r="R21" s="75" t="s">
        <v>1634</v>
      </c>
    </row>
    <row r="22" spans="1:18" x14ac:dyDescent="0.55000000000000004">
      <c r="A22" s="7" t="s">
        <v>2223</v>
      </c>
      <c r="B22" s="5">
        <v>0.1</v>
      </c>
      <c r="C22" s="16"/>
      <c r="D22" s="16"/>
      <c r="E22" s="16"/>
      <c r="F22" s="16"/>
      <c r="G22" s="16"/>
      <c r="R22" s="75" t="s">
        <v>1635</v>
      </c>
    </row>
    <row r="23" spans="1:18" x14ac:dyDescent="0.55000000000000004">
      <c r="R23" s="75" t="s">
        <v>1636</v>
      </c>
    </row>
    <row r="24" spans="1:18" x14ac:dyDescent="0.55000000000000004">
      <c r="A24" s="104" t="s">
        <v>2224</v>
      </c>
      <c r="R24" s="75" t="s">
        <v>1637</v>
      </c>
    </row>
    <row r="25" spans="1:18" x14ac:dyDescent="0.55000000000000004">
      <c r="J25" s="75"/>
      <c r="R25" s="75" t="s">
        <v>1638</v>
      </c>
    </row>
    <row r="26" spans="1:18" x14ac:dyDescent="0.55000000000000004">
      <c r="E26" t="s">
        <v>1614</v>
      </c>
      <c r="R26" s="75" t="s">
        <v>1639</v>
      </c>
    </row>
    <row r="27" spans="1:18" x14ac:dyDescent="0.55000000000000004">
      <c r="E27" s="66" t="s">
        <v>1613</v>
      </c>
      <c r="R27" s="75" t="s">
        <v>1640</v>
      </c>
    </row>
    <row r="32" spans="1:18" x14ac:dyDescent="0.55000000000000004">
      <c r="A32" t="s">
        <v>2225</v>
      </c>
    </row>
    <row r="33" spans="1:1" x14ac:dyDescent="0.55000000000000004">
      <c r="A33" t="s">
        <v>2226</v>
      </c>
    </row>
    <row r="34" spans="1:1" x14ac:dyDescent="0.55000000000000004">
      <c r="A34" s="107" t="s">
        <v>2234</v>
      </c>
    </row>
  </sheetData>
  <hyperlinks>
    <hyperlink ref="E27"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201930</xdr:colOff>
                    <xdr:row>25</xdr:row>
                    <xdr:rowOff>41910</xdr:rowOff>
                  </from>
                  <to>
                    <xdr:col>3</xdr:col>
                    <xdr:colOff>594360</xdr:colOff>
                    <xdr:row>29</xdr:row>
                    <xdr:rowOff>60960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0270B-F1A9-44EC-958F-2BF519B1C1FF}">
  <sheetPr codeName="Sheet19"/>
  <dimension ref="A2:O104"/>
  <sheetViews>
    <sheetView workbookViewId="0">
      <selection activeCell="F90" sqref="F90"/>
    </sheetView>
  </sheetViews>
  <sheetFormatPr defaultRowHeight="14.4" x14ac:dyDescent="0.55000000000000004"/>
  <sheetData>
    <row r="2" spans="1:15" x14ac:dyDescent="0.55000000000000004">
      <c r="A2" t="s">
        <v>1976</v>
      </c>
      <c r="K2" t="s">
        <v>2063</v>
      </c>
    </row>
    <row r="3" spans="1:15" x14ac:dyDescent="0.55000000000000004">
      <c r="K3" t="s">
        <v>2064</v>
      </c>
    </row>
    <row r="4" spans="1:15" x14ac:dyDescent="0.55000000000000004">
      <c r="A4" t="s">
        <v>1977</v>
      </c>
      <c r="J4">
        <v>1</v>
      </c>
      <c r="K4" t="s">
        <v>2035</v>
      </c>
      <c r="O4" t="s">
        <v>2023</v>
      </c>
    </row>
    <row r="5" spans="1:15" x14ac:dyDescent="0.55000000000000004">
      <c r="A5" t="s">
        <v>1978</v>
      </c>
      <c r="J5">
        <v>2</v>
      </c>
      <c r="K5" t="s">
        <v>2036</v>
      </c>
      <c r="O5" t="s">
        <v>2024</v>
      </c>
    </row>
    <row r="6" spans="1:15" x14ac:dyDescent="0.55000000000000004">
      <c r="A6" t="s">
        <v>1979</v>
      </c>
      <c r="J6">
        <v>3</v>
      </c>
      <c r="K6" t="s">
        <v>2037</v>
      </c>
      <c r="O6" t="s">
        <v>2025</v>
      </c>
    </row>
    <row r="7" spans="1:15" x14ac:dyDescent="0.55000000000000004">
      <c r="A7" t="s">
        <v>1980</v>
      </c>
      <c r="J7">
        <v>4</v>
      </c>
      <c r="K7" t="s">
        <v>2038</v>
      </c>
      <c r="O7" t="s">
        <v>2026</v>
      </c>
    </row>
    <row r="8" spans="1:15" x14ac:dyDescent="0.55000000000000004">
      <c r="A8" t="s">
        <v>1981</v>
      </c>
      <c r="J8">
        <v>5</v>
      </c>
      <c r="K8" t="s">
        <v>2039</v>
      </c>
      <c r="O8" t="s">
        <v>2027</v>
      </c>
    </row>
    <row r="9" spans="1:15" x14ac:dyDescent="0.55000000000000004">
      <c r="A9" t="s">
        <v>1982</v>
      </c>
      <c r="J9">
        <v>6</v>
      </c>
      <c r="K9" t="s">
        <v>2040</v>
      </c>
      <c r="O9" t="s">
        <v>2028</v>
      </c>
    </row>
    <row r="10" spans="1:15" x14ac:dyDescent="0.55000000000000004">
      <c r="A10" t="s">
        <v>1983</v>
      </c>
      <c r="J10">
        <v>7</v>
      </c>
      <c r="K10" t="s">
        <v>2041</v>
      </c>
      <c r="O10" t="s">
        <v>2029</v>
      </c>
    </row>
    <row r="11" spans="1:15" x14ac:dyDescent="0.55000000000000004">
      <c r="A11" t="s">
        <v>1984</v>
      </c>
      <c r="J11">
        <v>8</v>
      </c>
      <c r="K11" t="s">
        <v>2042</v>
      </c>
      <c r="O11" t="s">
        <v>2030</v>
      </c>
    </row>
    <row r="12" spans="1:15" x14ac:dyDescent="0.55000000000000004">
      <c r="A12" t="s">
        <v>1985</v>
      </c>
      <c r="J12">
        <v>9</v>
      </c>
      <c r="K12" t="s">
        <v>2043</v>
      </c>
      <c r="O12" t="s">
        <v>2031</v>
      </c>
    </row>
    <row r="13" spans="1:15" x14ac:dyDescent="0.55000000000000004">
      <c r="A13" t="s">
        <v>1986</v>
      </c>
      <c r="J13">
        <v>10</v>
      </c>
      <c r="K13" t="s">
        <v>2044</v>
      </c>
      <c r="O13" t="s">
        <v>2032</v>
      </c>
    </row>
    <row r="14" spans="1:15" x14ac:dyDescent="0.55000000000000004">
      <c r="A14" t="s">
        <v>1987</v>
      </c>
      <c r="J14">
        <v>11</v>
      </c>
      <c r="K14" t="s">
        <v>2045</v>
      </c>
      <c r="O14" t="s">
        <v>2033</v>
      </c>
    </row>
    <row r="15" spans="1:15" x14ac:dyDescent="0.55000000000000004">
      <c r="A15" t="s">
        <v>1988</v>
      </c>
      <c r="J15">
        <v>12</v>
      </c>
      <c r="K15" t="s">
        <v>2046</v>
      </c>
      <c r="O15" t="s">
        <v>2034</v>
      </c>
    </row>
    <row r="16" spans="1:15" x14ac:dyDescent="0.55000000000000004">
      <c r="A16" t="s">
        <v>1989</v>
      </c>
      <c r="J16">
        <v>13</v>
      </c>
      <c r="K16" t="s">
        <v>2047</v>
      </c>
      <c r="O16" t="s">
        <v>2065</v>
      </c>
    </row>
    <row r="17" spans="1:15" x14ac:dyDescent="0.55000000000000004">
      <c r="A17" t="s">
        <v>1990</v>
      </c>
      <c r="J17">
        <v>14</v>
      </c>
      <c r="K17" t="s">
        <v>2048</v>
      </c>
      <c r="O17" t="s">
        <v>2066</v>
      </c>
    </row>
    <row r="18" spans="1:15" x14ac:dyDescent="0.55000000000000004">
      <c r="A18" t="s">
        <v>1991</v>
      </c>
      <c r="J18">
        <v>15</v>
      </c>
      <c r="K18" t="s">
        <v>2049</v>
      </c>
      <c r="O18" t="s">
        <v>2068</v>
      </c>
    </row>
    <row r="19" spans="1:15" x14ac:dyDescent="0.55000000000000004">
      <c r="A19" t="s">
        <v>1992</v>
      </c>
      <c r="J19">
        <v>16</v>
      </c>
      <c r="K19" t="s">
        <v>2050</v>
      </c>
      <c r="O19" t="s">
        <v>2069</v>
      </c>
    </row>
    <row r="20" spans="1:15" x14ac:dyDescent="0.55000000000000004">
      <c r="A20" t="s">
        <v>1993</v>
      </c>
      <c r="J20">
        <v>17</v>
      </c>
      <c r="K20" t="s">
        <v>2051</v>
      </c>
      <c r="O20" t="s">
        <v>2070</v>
      </c>
    </row>
    <row r="21" spans="1:15" x14ac:dyDescent="0.55000000000000004">
      <c r="A21" t="s">
        <v>1994</v>
      </c>
      <c r="J21">
        <v>18</v>
      </c>
      <c r="K21" t="s">
        <v>2052</v>
      </c>
      <c r="O21" t="s">
        <v>2071</v>
      </c>
    </row>
    <row r="22" spans="1:15" x14ac:dyDescent="0.55000000000000004">
      <c r="A22" t="s">
        <v>1995</v>
      </c>
      <c r="J22">
        <v>19</v>
      </c>
      <c r="K22" t="s">
        <v>2016</v>
      </c>
      <c r="O22" t="s">
        <v>2072</v>
      </c>
    </row>
    <row r="23" spans="1:15" x14ac:dyDescent="0.55000000000000004">
      <c r="A23" t="s">
        <v>1996</v>
      </c>
      <c r="J23">
        <v>20</v>
      </c>
      <c r="K23" t="s">
        <v>2015</v>
      </c>
      <c r="O23" t="s">
        <v>2073</v>
      </c>
    </row>
    <row r="24" spans="1:15" x14ac:dyDescent="0.55000000000000004">
      <c r="A24" t="s">
        <v>1997</v>
      </c>
      <c r="J24">
        <v>21</v>
      </c>
      <c r="K24" t="s">
        <v>2014</v>
      </c>
      <c r="O24" t="s">
        <v>2074</v>
      </c>
    </row>
    <row r="25" spans="1:15" x14ac:dyDescent="0.55000000000000004">
      <c r="A25" t="s">
        <v>1998</v>
      </c>
      <c r="J25">
        <v>22</v>
      </c>
      <c r="K25" t="s">
        <v>2017</v>
      </c>
      <c r="O25" t="s">
        <v>2075</v>
      </c>
    </row>
    <row r="26" spans="1:15" x14ac:dyDescent="0.55000000000000004">
      <c r="A26" t="s">
        <v>1999</v>
      </c>
      <c r="J26">
        <v>23</v>
      </c>
      <c r="K26" t="s">
        <v>2018</v>
      </c>
    </row>
    <row r="27" spans="1:15" x14ac:dyDescent="0.55000000000000004">
      <c r="A27" t="s">
        <v>2000</v>
      </c>
      <c r="J27">
        <v>24</v>
      </c>
      <c r="K27" t="s">
        <v>2019</v>
      </c>
    </row>
    <row r="28" spans="1:15" x14ac:dyDescent="0.55000000000000004">
      <c r="A28" t="s">
        <v>2001</v>
      </c>
      <c r="J28">
        <v>25</v>
      </c>
      <c r="K28" t="s">
        <v>2020</v>
      </c>
    </row>
    <row r="29" spans="1:15" x14ac:dyDescent="0.55000000000000004">
      <c r="A29" t="s">
        <v>2002</v>
      </c>
      <c r="J29">
        <v>26</v>
      </c>
      <c r="K29" t="s">
        <v>2021</v>
      </c>
    </row>
    <row r="30" spans="1:15" x14ac:dyDescent="0.55000000000000004">
      <c r="A30" t="s">
        <v>2003</v>
      </c>
      <c r="J30">
        <v>27</v>
      </c>
      <c r="K30" t="s">
        <v>2022</v>
      </c>
    </row>
    <row r="31" spans="1:15" x14ac:dyDescent="0.55000000000000004">
      <c r="A31" t="s">
        <v>2004</v>
      </c>
      <c r="J31">
        <v>28</v>
      </c>
      <c r="K31" t="s">
        <v>2053</v>
      </c>
    </row>
    <row r="32" spans="1:15" x14ac:dyDescent="0.55000000000000004">
      <c r="A32" t="s">
        <v>2005</v>
      </c>
      <c r="J32">
        <v>29</v>
      </c>
      <c r="K32" t="s">
        <v>2054</v>
      </c>
    </row>
    <row r="33" spans="1:11" x14ac:dyDescent="0.55000000000000004">
      <c r="A33" t="s">
        <v>2006</v>
      </c>
      <c r="J33">
        <v>30</v>
      </c>
      <c r="K33" t="s">
        <v>2055</v>
      </c>
    </row>
    <row r="34" spans="1:11" x14ac:dyDescent="0.55000000000000004">
      <c r="A34" t="s">
        <v>2007</v>
      </c>
      <c r="J34">
        <v>31</v>
      </c>
      <c r="K34" t="s">
        <v>2056</v>
      </c>
    </row>
    <row r="35" spans="1:11" x14ac:dyDescent="0.55000000000000004">
      <c r="A35" t="s">
        <v>2008</v>
      </c>
      <c r="J35">
        <v>32</v>
      </c>
      <c r="K35" t="s">
        <v>2057</v>
      </c>
    </row>
    <row r="36" spans="1:11" x14ac:dyDescent="0.55000000000000004">
      <c r="A36" t="s">
        <v>2009</v>
      </c>
      <c r="J36">
        <v>33</v>
      </c>
      <c r="K36" t="s">
        <v>2058</v>
      </c>
    </row>
    <row r="37" spans="1:11" x14ac:dyDescent="0.55000000000000004">
      <c r="A37" t="s">
        <v>2010</v>
      </c>
      <c r="J37">
        <v>34</v>
      </c>
      <c r="K37" t="s">
        <v>2059</v>
      </c>
    </row>
    <row r="38" spans="1:11" x14ac:dyDescent="0.55000000000000004">
      <c r="A38" t="s">
        <v>2011</v>
      </c>
      <c r="J38">
        <v>35</v>
      </c>
      <c r="K38" t="s">
        <v>2060</v>
      </c>
    </row>
    <row r="39" spans="1:11" x14ac:dyDescent="0.55000000000000004">
      <c r="A39" t="s">
        <v>2012</v>
      </c>
      <c r="J39">
        <v>36</v>
      </c>
      <c r="K39" t="s">
        <v>2061</v>
      </c>
    </row>
    <row r="40" spans="1:11" x14ac:dyDescent="0.55000000000000004">
      <c r="A40" t="s">
        <v>2013</v>
      </c>
      <c r="J40">
        <v>37</v>
      </c>
      <c r="K40" t="s">
        <v>2062</v>
      </c>
    </row>
    <row r="44" spans="1:11" x14ac:dyDescent="0.55000000000000004">
      <c r="B44" t="s">
        <v>2112</v>
      </c>
    </row>
    <row r="46" spans="1:11" x14ac:dyDescent="0.55000000000000004">
      <c r="A46" t="s">
        <v>2076</v>
      </c>
      <c r="I46">
        <v>1</v>
      </c>
    </row>
    <row r="47" spans="1:11" x14ac:dyDescent="0.55000000000000004">
      <c r="A47" t="s">
        <v>2077</v>
      </c>
      <c r="I47">
        <v>2</v>
      </c>
    </row>
    <row r="48" spans="1:11" x14ac:dyDescent="0.55000000000000004">
      <c r="A48" t="s">
        <v>2078</v>
      </c>
      <c r="I48">
        <v>3</v>
      </c>
    </row>
    <row r="49" spans="1:9" x14ac:dyDescent="0.55000000000000004">
      <c r="A49" t="s">
        <v>2079</v>
      </c>
      <c r="I49">
        <v>4</v>
      </c>
    </row>
    <row r="50" spans="1:9" x14ac:dyDescent="0.55000000000000004">
      <c r="A50" t="s">
        <v>2080</v>
      </c>
      <c r="I50">
        <v>5</v>
      </c>
    </row>
    <row r="51" spans="1:9" x14ac:dyDescent="0.55000000000000004">
      <c r="A51" t="s">
        <v>2081</v>
      </c>
      <c r="I51">
        <v>6</v>
      </c>
    </row>
    <row r="52" spans="1:9" x14ac:dyDescent="0.55000000000000004">
      <c r="A52" t="s">
        <v>2082</v>
      </c>
      <c r="I52">
        <v>7</v>
      </c>
    </row>
    <row r="53" spans="1:9" x14ac:dyDescent="0.55000000000000004">
      <c r="A53" t="s">
        <v>2083</v>
      </c>
      <c r="I53">
        <v>8</v>
      </c>
    </row>
    <row r="54" spans="1:9" x14ac:dyDescent="0.55000000000000004">
      <c r="A54" t="s">
        <v>2084</v>
      </c>
      <c r="I54">
        <v>9</v>
      </c>
    </row>
    <row r="55" spans="1:9" x14ac:dyDescent="0.55000000000000004">
      <c r="A55" t="s">
        <v>2085</v>
      </c>
      <c r="I55">
        <v>10</v>
      </c>
    </row>
    <row r="56" spans="1:9" x14ac:dyDescent="0.55000000000000004">
      <c r="A56" t="s">
        <v>2086</v>
      </c>
      <c r="I56">
        <v>11</v>
      </c>
    </row>
    <row r="57" spans="1:9" x14ac:dyDescent="0.55000000000000004">
      <c r="A57" t="s">
        <v>2087</v>
      </c>
      <c r="I57">
        <v>12</v>
      </c>
    </row>
    <row r="58" spans="1:9" x14ac:dyDescent="0.55000000000000004">
      <c r="A58" t="s">
        <v>2088</v>
      </c>
      <c r="I58">
        <v>13</v>
      </c>
    </row>
    <row r="59" spans="1:9" x14ac:dyDescent="0.55000000000000004">
      <c r="A59" t="s">
        <v>2089</v>
      </c>
      <c r="I59">
        <v>14</v>
      </c>
    </row>
    <row r="60" spans="1:9" x14ac:dyDescent="0.55000000000000004">
      <c r="A60" t="s">
        <v>2090</v>
      </c>
      <c r="I60">
        <v>15</v>
      </c>
    </row>
    <row r="61" spans="1:9" x14ac:dyDescent="0.55000000000000004">
      <c r="A61" t="s">
        <v>2091</v>
      </c>
      <c r="I61">
        <v>16</v>
      </c>
    </row>
    <row r="62" spans="1:9" x14ac:dyDescent="0.55000000000000004">
      <c r="A62" t="s">
        <v>2092</v>
      </c>
      <c r="I62">
        <v>17</v>
      </c>
    </row>
    <row r="63" spans="1:9" x14ac:dyDescent="0.55000000000000004">
      <c r="A63" t="s">
        <v>2067</v>
      </c>
    </row>
    <row r="64" spans="1:9" x14ac:dyDescent="0.55000000000000004">
      <c r="A64" t="s">
        <v>2093</v>
      </c>
      <c r="H64" t="s">
        <v>2113</v>
      </c>
    </row>
    <row r="65" spans="1:1" x14ac:dyDescent="0.55000000000000004">
      <c r="A65" t="s">
        <v>2094</v>
      </c>
    </row>
    <row r="66" spans="1:1" x14ac:dyDescent="0.55000000000000004">
      <c r="A66" t="s">
        <v>2095</v>
      </c>
    </row>
    <row r="67" spans="1:1" x14ac:dyDescent="0.55000000000000004">
      <c r="A67" t="s">
        <v>2096</v>
      </c>
    </row>
    <row r="68" spans="1:1" x14ac:dyDescent="0.55000000000000004">
      <c r="A68" t="s">
        <v>2097</v>
      </c>
    </row>
    <row r="69" spans="1:1" x14ac:dyDescent="0.55000000000000004">
      <c r="A69" t="s">
        <v>2098</v>
      </c>
    </row>
    <row r="70" spans="1:1" x14ac:dyDescent="0.55000000000000004">
      <c r="A70" t="s">
        <v>2099</v>
      </c>
    </row>
    <row r="71" spans="1:1" x14ac:dyDescent="0.55000000000000004">
      <c r="A71" t="s">
        <v>2100</v>
      </c>
    </row>
    <row r="72" spans="1:1" x14ac:dyDescent="0.55000000000000004">
      <c r="A72" t="s">
        <v>2101</v>
      </c>
    </row>
    <row r="73" spans="1:1" x14ac:dyDescent="0.55000000000000004">
      <c r="A73" t="s">
        <v>2102</v>
      </c>
    </row>
    <row r="74" spans="1:1" x14ac:dyDescent="0.55000000000000004">
      <c r="A74" t="s">
        <v>2103</v>
      </c>
    </row>
    <row r="75" spans="1:1" x14ac:dyDescent="0.55000000000000004">
      <c r="A75" t="s">
        <v>2104</v>
      </c>
    </row>
    <row r="76" spans="1:1" x14ac:dyDescent="0.55000000000000004">
      <c r="A76" t="s">
        <v>2105</v>
      </c>
    </row>
    <row r="77" spans="1:1" x14ac:dyDescent="0.55000000000000004">
      <c r="A77" t="s">
        <v>2106</v>
      </c>
    </row>
    <row r="78" spans="1:1" x14ac:dyDescent="0.55000000000000004">
      <c r="A78" t="s">
        <v>2107</v>
      </c>
    </row>
    <row r="79" spans="1:1" x14ac:dyDescent="0.55000000000000004">
      <c r="A79" t="s">
        <v>2108</v>
      </c>
    </row>
    <row r="80" spans="1:1" x14ac:dyDescent="0.55000000000000004">
      <c r="A80" t="s">
        <v>2109</v>
      </c>
    </row>
    <row r="81" spans="1:1" x14ac:dyDescent="0.55000000000000004">
      <c r="A81" t="s">
        <v>2110</v>
      </c>
    </row>
    <row r="82" spans="1:1" x14ac:dyDescent="0.55000000000000004">
      <c r="A82" t="s">
        <v>2111</v>
      </c>
    </row>
    <row r="85" spans="1:1" x14ac:dyDescent="0.55000000000000004">
      <c r="A85" t="s">
        <v>2114</v>
      </c>
    </row>
    <row r="86" spans="1:1" x14ac:dyDescent="0.55000000000000004">
      <c r="A86" t="s">
        <v>2115</v>
      </c>
    </row>
    <row r="87" spans="1:1" x14ac:dyDescent="0.55000000000000004">
      <c r="A87" t="s">
        <v>2116</v>
      </c>
    </row>
    <row r="88" spans="1:1" x14ac:dyDescent="0.55000000000000004">
      <c r="A88" t="s">
        <v>2117</v>
      </c>
    </row>
    <row r="89" spans="1:1" x14ac:dyDescent="0.55000000000000004">
      <c r="A89" t="s">
        <v>2118</v>
      </c>
    </row>
    <row r="90" spans="1:1" x14ac:dyDescent="0.55000000000000004">
      <c r="A90" t="s">
        <v>2119</v>
      </c>
    </row>
    <row r="91" spans="1:1" x14ac:dyDescent="0.55000000000000004">
      <c r="A91" t="s">
        <v>2120</v>
      </c>
    </row>
    <row r="92" spans="1:1" x14ac:dyDescent="0.55000000000000004">
      <c r="A92" t="s">
        <v>2121</v>
      </c>
    </row>
    <row r="93" spans="1:1" x14ac:dyDescent="0.55000000000000004">
      <c r="A93" t="s">
        <v>2122</v>
      </c>
    </row>
    <row r="94" spans="1:1" x14ac:dyDescent="0.55000000000000004">
      <c r="A94" t="s">
        <v>2123</v>
      </c>
    </row>
    <row r="95" spans="1:1" x14ac:dyDescent="0.55000000000000004">
      <c r="A95" t="s">
        <v>2124</v>
      </c>
    </row>
    <row r="96" spans="1:1" x14ac:dyDescent="0.55000000000000004">
      <c r="A96" t="s">
        <v>2125</v>
      </c>
    </row>
    <row r="97" spans="1:1" x14ac:dyDescent="0.55000000000000004">
      <c r="A97" t="s">
        <v>2121</v>
      </c>
    </row>
    <row r="98" spans="1:1" x14ac:dyDescent="0.55000000000000004">
      <c r="A98" t="s">
        <v>2126</v>
      </c>
    </row>
    <row r="99" spans="1:1" x14ac:dyDescent="0.55000000000000004">
      <c r="A99" t="s">
        <v>2127</v>
      </c>
    </row>
    <row r="100" spans="1:1" x14ac:dyDescent="0.55000000000000004">
      <c r="A100" t="s">
        <v>2121</v>
      </c>
    </row>
    <row r="101" spans="1:1" x14ac:dyDescent="0.55000000000000004">
      <c r="A101" t="s">
        <v>2128</v>
      </c>
    </row>
    <row r="102" spans="1:1" x14ac:dyDescent="0.55000000000000004">
      <c r="A102" t="s">
        <v>2129</v>
      </c>
    </row>
    <row r="103" spans="1:1" x14ac:dyDescent="0.55000000000000004">
      <c r="A103" t="s">
        <v>2130</v>
      </c>
    </row>
    <row r="104" spans="1:1" x14ac:dyDescent="0.55000000000000004">
      <c r="A104" t="s">
        <v>2131</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1" sqref="H1:H2"/>
    </sheetView>
  </sheetViews>
  <sheetFormatPr defaultRowHeight="14.4" x14ac:dyDescent="0.55000000000000004"/>
  <cols>
    <col min="9" max="9" width="11.578125" bestFit="1" customWidth="1"/>
  </cols>
  <sheetData>
    <row r="1" spans="1:17" x14ac:dyDescent="0.55000000000000004">
      <c r="A1" s="7" t="s">
        <v>1237</v>
      </c>
      <c r="B1" s="7"/>
      <c r="C1" s="7"/>
      <c r="D1" s="7"/>
      <c r="E1" s="7"/>
      <c r="F1" s="7"/>
      <c r="H1" t="s">
        <v>1614</v>
      </c>
    </row>
    <row r="2" spans="1:17" x14ac:dyDescent="0.55000000000000004">
      <c r="A2" s="7" t="s">
        <v>1241</v>
      </c>
      <c r="B2" s="7"/>
      <c r="C2" s="7"/>
      <c r="D2" s="7"/>
      <c r="E2" s="7"/>
      <c r="F2" s="7"/>
      <c r="H2" s="66" t="s">
        <v>1613</v>
      </c>
      <c r="M2" s="9" t="s">
        <v>518</v>
      </c>
      <c r="N2" s="4" t="s">
        <v>515</v>
      </c>
      <c r="O2" s="3" t="s">
        <v>1017</v>
      </c>
      <c r="P2" s="4" t="s">
        <v>1018</v>
      </c>
      <c r="Q2" s="36" t="s">
        <v>1234</v>
      </c>
    </row>
    <row r="3" spans="1:17" x14ac:dyDescent="0.55000000000000004">
      <c r="A3" s="7" t="s">
        <v>1238</v>
      </c>
      <c r="B3" s="7" t="s">
        <v>54</v>
      </c>
      <c r="C3" s="7" t="s">
        <v>55</v>
      </c>
      <c r="D3" s="7" t="s">
        <v>56</v>
      </c>
      <c r="E3" s="7" t="s">
        <v>1239</v>
      </c>
      <c r="F3" s="7" t="s">
        <v>1240</v>
      </c>
      <c r="M3" s="10">
        <v>1</v>
      </c>
      <c r="N3" s="5" t="s">
        <v>1019</v>
      </c>
      <c r="O3" s="5" t="s">
        <v>1203</v>
      </c>
      <c r="P3" s="5" t="s">
        <v>998</v>
      </c>
      <c r="Q3" s="32" t="s">
        <v>11</v>
      </c>
    </row>
    <row r="4" spans="1:17" x14ac:dyDescent="0.55000000000000004">
      <c r="A4" s="7">
        <v>1</v>
      </c>
      <c r="B4" s="7">
        <v>14</v>
      </c>
      <c r="C4" s="7">
        <v>0.6</v>
      </c>
      <c r="D4" s="7">
        <v>2</v>
      </c>
      <c r="E4" s="7">
        <v>1</v>
      </c>
      <c r="F4" s="7">
        <v>1</v>
      </c>
      <c r="I4" t="s">
        <v>1244</v>
      </c>
      <c r="M4" s="9">
        <v>2</v>
      </c>
      <c r="N4" s="5" t="s">
        <v>1020</v>
      </c>
      <c r="O4" s="5" t="s">
        <v>1204</v>
      </c>
      <c r="P4" s="5" t="s">
        <v>998</v>
      </c>
      <c r="Q4" s="32" t="s">
        <v>11</v>
      </c>
    </row>
    <row r="5" spans="1:17" x14ac:dyDescent="0.55000000000000004">
      <c r="A5" s="7">
        <v>100</v>
      </c>
      <c r="B5" s="7">
        <v>15</v>
      </c>
      <c r="C5" s="7">
        <v>0.5</v>
      </c>
      <c r="D5" s="7">
        <v>1</v>
      </c>
      <c r="E5" s="7">
        <v>1</v>
      </c>
      <c r="F5" s="7">
        <v>1</v>
      </c>
      <c r="I5" t="s">
        <v>1245</v>
      </c>
      <c r="M5" s="10">
        <v>3</v>
      </c>
      <c r="N5" s="5" t="s">
        <v>1021</v>
      </c>
      <c r="O5" s="5" t="s">
        <v>1161</v>
      </c>
      <c r="P5" s="5" t="s">
        <v>998</v>
      </c>
      <c r="Q5" s="32" t="s">
        <v>11</v>
      </c>
    </row>
    <row r="6" spans="1:17" x14ac:dyDescent="0.55000000000000004">
      <c r="A6" s="7">
        <v>250</v>
      </c>
      <c r="B6" s="7">
        <v>13</v>
      </c>
      <c r="C6" s="7">
        <v>0.4</v>
      </c>
      <c r="D6" s="7">
        <v>1</v>
      </c>
      <c r="E6" s="7">
        <v>1</v>
      </c>
      <c r="F6" s="7">
        <v>1</v>
      </c>
      <c r="M6" s="9">
        <v>4</v>
      </c>
      <c r="N6" s="5" t="s">
        <v>1022</v>
      </c>
      <c r="O6" s="5" t="s">
        <v>1205</v>
      </c>
      <c r="P6" s="5" t="s">
        <v>998</v>
      </c>
      <c r="Q6" s="32" t="s">
        <v>11</v>
      </c>
    </row>
    <row r="7" spans="1:17" x14ac:dyDescent="0.55000000000000004">
      <c r="A7" s="7">
        <v>365</v>
      </c>
      <c r="B7" s="7">
        <v>12</v>
      </c>
      <c r="C7" s="7">
        <v>0.6</v>
      </c>
      <c r="D7" s="7">
        <v>1</v>
      </c>
      <c r="E7" s="7">
        <v>1</v>
      </c>
      <c r="F7" s="7">
        <v>1</v>
      </c>
      <c r="I7" s="37">
        <f>1000/(365*86400*1000*1000)</f>
        <v>3.1709791983764586E-11</v>
      </c>
      <c r="M7" s="10">
        <v>5</v>
      </c>
      <c r="N7" s="5" t="s">
        <v>1023</v>
      </c>
      <c r="O7" s="5" t="s">
        <v>1162</v>
      </c>
      <c r="P7" s="5" t="s">
        <v>998</v>
      </c>
      <c r="Q7" s="32" t="s">
        <v>11</v>
      </c>
    </row>
    <row r="8" spans="1:17" x14ac:dyDescent="0.55000000000000004">
      <c r="A8" s="7">
        <v>400</v>
      </c>
      <c r="B8" s="7">
        <v>11</v>
      </c>
      <c r="C8" s="7">
        <v>0.4</v>
      </c>
      <c r="D8" s="7">
        <v>2</v>
      </c>
      <c r="E8" s="7">
        <v>1</v>
      </c>
      <c r="F8" s="7">
        <v>1</v>
      </c>
      <c r="M8" s="9">
        <v>6</v>
      </c>
      <c r="N8" s="5" t="s">
        <v>1024</v>
      </c>
      <c r="O8" s="5" t="s">
        <v>1206</v>
      </c>
      <c r="P8" s="5" t="s">
        <v>998</v>
      </c>
      <c r="Q8" s="32" t="s">
        <v>2</v>
      </c>
    </row>
    <row r="9" spans="1:17" x14ac:dyDescent="0.55000000000000004">
      <c r="M9" s="10">
        <v>7</v>
      </c>
      <c r="N9" s="5" t="s">
        <v>1025</v>
      </c>
      <c r="O9" s="5" t="s">
        <v>1207</v>
      </c>
      <c r="P9" s="5" t="s">
        <v>998</v>
      </c>
      <c r="Q9" s="32" t="s">
        <v>2</v>
      </c>
    </row>
    <row r="10" spans="1:17" x14ac:dyDescent="0.55000000000000004">
      <c r="M10" s="9">
        <v>8</v>
      </c>
      <c r="N10" s="5" t="s">
        <v>1026</v>
      </c>
      <c r="O10" s="5" t="s">
        <v>1163</v>
      </c>
      <c r="P10" s="5" t="s">
        <v>998</v>
      </c>
      <c r="Q10" s="32" t="s">
        <v>2</v>
      </c>
    </row>
    <row r="11" spans="1:17" x14ac:dyDescent="0.55000000000000004">
      <c r="M11" s="10">
        <v>9</v>
      </c>
      <c r="N11" s="5" t="s">
        <v>1027</v>
      </c>
      <c r="O11" s="5" t="s">
        <v>1164</v>
      </c>
      <c r="P11" s="5" t="s">
        <v>982</v>
      </c>
      <c r="Q11" s="32" t="s">
        <v>11</v>
      </c>
    </row>
    <row r="12" spans="1:17" x14ac:dyDescent="0.55000000000000004">
      <c r="M12" s="9">
        <v>10</v>
      </c>
      <c r="N12" s="5" t="s">
        <v>1028</v>
      </c>
      <c r="O12" s="5" t="s">
        <v>1165</v>
      </c>
      <c r="P12" s="5" t="s">
        <v>982</v>
      </c>
      <c r="Q12" s="32" t="s">
        <v>11</v>
      </c>
    </row>
    <row r="13" spans="1:17" x14ac:dyDescent="0.55000000000000004">
      <c r="M13" s="10">
        <v>11</v>
      </c>
      <c r="N13" s="5" t="s">
        <v>1029</v>
      </c>
      <c r="O13" s="5" t="s">
        <v>1166</v>
      </c>
      <c r="P13" s="5" t="s">
        <v>998</v>
      </c>
      <c r="Q13" s="32" t="s">
        <v>11</v>
      </c>
    </row>
    <row r="14" spans="1:17" x14ac:dyDescent="0.55000000000000004">
      <c r="M14" s="9">
        <v>12</v>
      </c>
      <c r="N14" s="5" t="s">
        <v>1030</v>
      </c>
      <c r="O14" s="5" t="s">
        <v>1167</v>
      </c>
      <c r="P14" s="5" t="s">
        <v>998</v>
      </c>
      <c r="Q14" s="32" t="s">
        <v>11</v>
      </c>
    </row>
    <row r="15" spans="1:17" x14ac:dyDescent="0.55000000000000004">
      <c r="M15" s="10">
        <v>13</v>
      </c>
      <c r="N15" s="5" t="s">
        <v>1031</v>
      </c>
      <c r="O15" s="5" t="s">
        <v>1168</v>
      </c>
      <c r="P15" s="5" t="s">
        <v>998</v>
      </c>
      <c r="Q15" s="32" t="s">
        <v>11</v>
      </c>
    </row>
    <row r="16" spans="1:17" x14ac:dyDescent="0.55000000000000004">
      <c r="M16" s="9">
        <v>14</v>
      </c>
      <c r="N16" s="5" t="s">
        <v>1032</v>
      </c>
      <c r="O16" s="5" t="s">
        <v>1169</v>
      </c>
      <c r="P16" s="5" t="s">
        <v>998</v>
      </c>
      <c r="Q16" s="32" t="s">
        <v>11</v>
      </c>
    </row>
    <row r="17" spans="13:17" x14ac:dyDescent="0.55000000000000004">
      <c r="M17" s="10">
        <v>15</v>
      </c>
      <c r="N17" s="5" t="s">
        <v>1033</v>
      </c>
      <c r="O17" s="5" t="s">
        <v>1170</v>
      </c>
      <c r="P17" s="5" t="s">
        <v>982</v>
      </c>
      <c r="Q17" s="32" t="s">
        <v>11</v>
      </c>
    </row>
    <row r="18" spans="13:17" x14ac:dyDescent="0.55000000000000004">
      <c r="M18" s="9">
        <v>16</v>
      </c>
      <c r="N18" s="5" t="s">
        <v>1034</v>
      </c>
      <c r="O18" s="5" t="s">
        <v>1171</v>
      </c>
      <c r="P18" s="5" t="s">
        <v>998</v>
      </c>
      <c r="Q18" s="32" t="s">
        <v>11</v>
      </c>
    </row>
    <row r="19" spans="13:17" x14ac:dyDescent="0.55000000000000004">
      <c r="M19" s="10">
        <v>17</v>
      </c>
      <c r="N19" s="5" t="s">
        <v>1035</v>
      </c>
      <c r="O19" s="5" t="s">
        <v>1172</v>
      </c>
      <c r="P19" s="5" t="s">
        <v>998</v>
      </c>
      <c r="Q19" s="32" t="s">
        <v>11</v>
      </c>
    </row>
    <row r="20" spans="13:17" x14ac:dyDescent="0.55000000000000004">
      <c r="M20" s="9">
        <v>18</v>
      </c>
      <c r="N20" s="5" t="s">
        <v>1036</v>
      </c>
      <c r="O20" s="5" t="s">
        <v>1173</v>
      </c>
      <c r="P20" s="5" t="s">
        <v>998</v>
      </c>
      <c r="Q20" s="32" t="s">
        <v>11</v>
      </c>
    </row>
    <row r="21" spans="13:17" x14ac:dyDescent="0.55000000000000004">
      <c r="M21" s="10">
        <v>19</v>
      </c>
      <c r="N21" s="5" t="s">
        <v>1037</v>
      </c>
      <c r="O21" s="5" t="s">
        <v>1174</v>
      </c>
      <c r="P21" s="5" t="s">
        <v>998</v>
      </c>
      <c r="Q21" s="32" t="s">
        <v>11</v>
      </c>
    </row>
    <row r="22" spans="13:17" x14ac:dyDescent="0.55000000000000004">
      <c r="M22" s="9">
        <v>20</v>
      </c>
      <c r="N22" s="5" t="s">
        <v>1038</v>
      </c>
      <c r="O22" s="5" t="s">
        <v>1175</v>
      </c>
      <c r="P22" s="5" t="s">
        <v>982</v>
      </c>
      <c r="Q22" s="32" t="s">
        <v>11</v>
      </c>
    </row>
    <row r="23" spans="13:17" x14ac:dyDescent="0.55000000000000004">
      <c r="M23" s="10">
        <v>21</v>
      </c>
      <c r="N23" s="5" t="s">
        <v>1039</v>
      </c>
      <c r="O23" s="5" t="s">
        <v>1176</v>
      </c>
      <c r="P23" s="5" t="s">
        <v>982</v>
      </c>
      <c r="Q23" s="32" t="s">
        <v>11</v>
      </c>
    </row>
    <row r="24" spans="13:17" x14ac:dyDescent="0.55000000000000004">
      <c r="M24" s="9">
        <v>22</v>
      </c>
      <c r="N24" s="5" t="s">
        <v>1040</v>
      </c>
      <c r="O24" s="5" t="s">
        <v>1177</v>
      </c>
      <c r="P24" s="5" t="s">
        <v>982</v>
      </c>
      <c r="Q24" s="32" t="s">
        <v>11</v>
      </c>
    </row>
    <row r="25" spans="13:17" x14ac:dyDescent="0.55000000000000004">
      <c r="M25" s="10">
        <v>23</v>
      </c>
      <c r="N25" s="5" t="s">
        <v>1041</v>
      </c>
      <c r="O25" s="5" t="s">
        <v>1178</v>
      </c>
      <c r="P25" s="5" t="s">
        <v>982</v>
      </c>
      <c r="Q25" s="32" t="s">
        <v>2</v>
      </c>
    </row>
    <row r="26" spans="13:17" x14ac:dyDescent="0.55000000000000004">
      <c r="M26" s="9">
        <v>24</v>
      </c>
      <c r="N26" s="5" t="s">
        <v>1042</v>
      </c>
      <c r="O26" s="5" t="s">
        <v>1179</v>
      </c>
      <c r="P26" s="5" t="s">
        <v>982</v>
      </c>
      <c r="Q26" s="32" t="s">
        <v>2</v>
      </c>
    </row>
    <row r="27" spans="13:17" x14ac:dyDescent="0.55000000000000004">
      <c r="M27" s="10">
        <v>25</v>
      </c>
      <c r="N27" s="5" t="s">
        <v>1043</v>
      </c>
      <c r="O27" s="5" t="s">
        <v>1180</v>
      </c>
      <c r="P27" s="5" t="s">
        <v>982</v>
      </c>
      <c r="Q27" s="32" t="s">
        <v>11</v>
      </c>
    </row>
    <row r="28" spans="13:17" x14ac:dyDescent="0.55000000000000004">
      <c r="M28" s="9">
        <v>26</v>
      </c>
      <c r="N28" s="5" t="s">
        <v>1044</v>
      </c>
      <c r="O28" s="5" t="s">
        <v>1181</v>
      </c>
      <c r="P28" s="5" t="s">
        <v>982</v>
      </c>
      <c r="Q28" s="32" t="s">
        <v>11</v>
      </c>
    </row>
    <row r="29" spans="13:17" x14ac:dyDescent="0.55000000000000004">
      <c r="M29" s="10">
        <v>27</v>
      </c>
      <c r="N29" s="5" t="s">
        <v>1045</v>
      </c>
      <c r="O29" s="5" t="s">
        <v>1182</v>
      </c>
      <c r="P29" s="5" t="s">
        <v>982</v>
      </c>
      <c r="Q29" s="32" t="s">
        <v>11</v>
      </c>
    </row>
    <row r="30" spans="13:17" x14ac:dyDescent="0.55000000000000004">
      <c r="M30" s="9">
        <v>28</v>
      </c>
      <c r="N30" s="5" t="s">
        <v>1046</v>
      </c>
      <c r="O30" s="5" t="s">
        <v>1183</v>
      </c>
      <c r="P30" s="5" t="s">
        <v>982</v>
      </c>
      <c r="Q30" s="32" t="s">
        <v>11</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175260</xdr:rowOff>
                  </from>
                  <to>
                    <xdr:col>9</xdr:col>
                    <xdr:colOff>419100</xdr:colOff>
                    <xdr:row>12</xdr:row>
                    <xdr:rowOff>7620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7</vt:i4>
      </vt:variant>
    </vt:vector>
  </HeadingPairs>
  <TitlesOfParts>
    <vt:vector size="25" baseType="lpstr">
      <vt:lpstr>Index of Sheets</vt:lpstr>
      <vt:lpstr>w2_con.csv</vt:lpstr>
      <vt:lpstr>w2_habitat.npt</vt:lpstr>
      <vt:lpstr>w2_diagenesis.npt</vt:lpstr>
      <vt:lpstr>w2_aerate.npt</vt:lpstr>
      <vt:lpstr>w2_envirprf.npt</vt:lpstr>
      <vt:lpstr>w2_selective.npt</vt:lpstr>
      <vt:lpstr>w2_constriction.csv</vt:lpstr>
      <vt:lpstr>w2_particle.csv</vt:lpstr>
      <vt:lpstr>w2_multiple_WB.npt</vt:lpstr>
      <vt:lpstr>w2_tecplotbr.csv</vt:lpstr>
      <vt:lpstr>w2_systdg.npt</vt:lpstr>
      <vt:lpstr>w2_TDGTarget.csv</vt:lpstr>
      <vt:lpstr>w2_lake_river_contour.csv</vt:lpstr>
      <vt:lpstr>w2_AlgaeMigration.csv</vt:lpstr>
      <vt:lpstr>w2_Algae_Toxin.csv</vt:lpstr>
      <vt:lpstr>sediment diagenesis numbers</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2024-01-18T00:20:16Z</dcterms:modified>
</cp:coreProperties>
</file>